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Model" sheetId="3" state="visible" r:id="rId5"/>
    <sheet name="RealProperty" sheetId="4" state="visible" r:id="rId6"/>
    <sheet name="Partnership" sheetId="5" state="visible" r:id="rId7"/>
    <sheet name="ProfitsInterest" sheetId="6" state="visible" r:id="rId8"/>
    <sheet name="CapitalRecon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<sst xmlns="http://schemas.openxmlformats.org/spreadsheetml/2006/main" count="357" uniqueCount="347">
  <si>
    <t xml:space="preserve">ATTORNEY WORK-PRODUCT SUPPORT — PREPARED FOR COUNSEL — NOT A FILING — NOT LEGAL ADVICE — DEMONSTRATIVE ARITHMETIC ONLY, NOT AN OPINION OF VALUE — DO NOT SEND TO ANY PARTY</t>
  </si>
  <si>
    <t xml:space="preserve">LEAL v. GARABEDIAN — SETTLEMENT MODEL</t>
  </si>
  <si>
    <t xml:space="preserve">Manuel Stephen Leal v. Ashley Garabedian, et al., Tulare County Superior Court</t>
  </si>
  <si>
    <t xml:space="preserve">Prepared August 18, 2026 for Brandon M. Ormonde, Ormonde Rascon</t>
  </si>
  <si>
    <t xml:space="preserve">PURPOSE</t>
  </si>
  <si>
    <t xml:space="preserve">Decomposes the gap between the two settlement positions and lets counsel test scenarios.</t>
  </si>
  <si>
    <t xml:space="preserve">Every stated figure is cited on the Sources tab. Both anchor columns tie to the actual letters.</t>
  </si>
  <si>
    <t xml:space="preserve">LEGEND</t>
  </si>
  <si>
    <t xml:space="preserve">  BLUE text = hardcoded input (a stated/source figure, or a lever you may change)</t>
  </si>
  <si>
    <t xml:space="preserve">  BLACK text = formula — do not overwrite</t>
  </si>
  <si>
    <t xml:space="preserve">  YELLOW fill = key agreed figure or lever deserving attention</t>
  </si>
  <si>
    <t xml:space="preserve">HOW TO USE</t>
  </si>
  <si>
    <t xml:space="preserve">  1. Model tab: columns C and D reproduce the two letters; column E is the Custom scenario.</t>
  </si>
  <si>
    <t xml:space="preserve">  2. Change the blue cells on the Inputs tab (or blue cells in column E) to test scenarios.</t>
  </si>
  <si>
    <t xml:space="preserve">  3. RealProperty / Partnership / ProfitsInterest / CapitalRecon show every derivation.</t>
  </si>
  <si>
    <t xml:space="preserve">KEY RECONCILIATIONS THIS MODEL ESTABLISHES</t>
  </si>
  <si>
    <t xml:space="preserve">  - Their $7,359,766 = buyout $5,725,117 + profit $1,498,480 + interest $119,281 + half appraisal fees $16,888</t>
  </si>
  <si>
    <t xml:space="preserve">  - Their $1,617,761 = $1,498,480 accrued profit + $119,281 accrued interest (exact)</t>
  </si>
  <si>
    <t xml:space="preserve">  - Our $4,700,000 principal = Mike Edwards' computed $4,647,339.56 + waived offsets... see Model bridge</t>
  </si>
  <si>
    <t xml:space="preserve">  - Our $5,705,257.43 offer reconciles EXACTLY to the ME 7/2/2025 model (Model tab, Bridge section)</t>
  </si>
  <si>
    <t xml:space="preserve">  - The $262,592 offset = Hazel excess draws $591,965 net of $329,373 Bypass income (CapitalRecon)</t>
  </si>
  <si>
    <t xml:space="preserve">CAVEATS</t>
  </si>
  <si>
    <t xml:space="preserve">  - Post-death compensation (profit share vs 4% interest) is a CONTESTED LEGAL QUESTION (Corp. Code</t>
  </si>
  <si>
    <t xml:space="preserve">    s.16601 et seq., UNVERIFIED). This model prices both answers; it does not choose one.</t>
  </si>
  <si>
    <t xml:space="preserve">  - The 8/30/2022 email agreeing $850,894.54 was transcribed from a client screenshot; pull the native email.</t>
  </si>
  <si>
    <t xml:space="preserve">  - Sources marked DRAFT are marked "FOR INTERNAL DISCUSSION PURPOSES ONLY" on their face.</t>
  </si>
  <si>
    <t xml:space="preserve">  - Open-ended claims NOT modeled unless entered: 2025 profit, BioGas/Feedstock credits, retains detail.</t>
  </si>
  <si>
    <t xml:space="preserve">CUSTOM SCENARIO LEVERS  (all blue cells editable — feed Model column E)</t>
  </si>
  <si>
    <t xml:space="preserve">Trust real-property share @100% value ($)</t>
  </si>
  <si>
    <t xml:space="preserve">Midpoint illustration. Ours (Ex. R, CX basis): $5,334,797.50 · Theirs (Ex. U, avg basis): $6,115,725. See RealProperty tab.</t>
  </si>
  <si>
    <t xml:space="preserve">Minority interest discount (%)</t>
  </si>
  <si>
    <t xml:space="preserve">Ours: 30% (Mar-25) then 25% (ME 7/2/25 + Jul-26 letter) · Theirs: 15% · Prior Xavier work: 20-30% (Complaint ¶17)</t>
  </si>
  <si>
    <t xml:space="preserve">Contractual buyout factor</t>
  </si>
  <si>
    <t xml:space="preserve">Settlement Agmt ¶7(a)-(b); TIC; Pship Art. XIII.B.2 — 90% of appraised value</t>
  </si>
  <si>
    <t xml:space="preserve">Partnership value, trust 37.5% pre-90% ($)</t>
  </si>
  <si>
    <t xml:space="preserve">AGREED per ME 7/2/25 (both columns identical): Moss $3,100,300 x 37.5%. Letters round to $1,162,875. See Partnership tab.</t>
  </si>
  <si>
    <t xml:space="preserve">Post-death compensation method (1=interest, 2=profit share)</t>
  </si>
  <si>
    <t xml:space="preserve">THE contested legal question (Corp. Code s.16601 — UNVERIFIED). Contract prescribes 4% interest (Art. XIII.B.2).</t>
  </si>
  <si>
    <t xml:space="preserve">Interest rate</t>
  </si>
  <si>
    <t xml:space="preserve">Art. XIII.B.2 / Settlement ¶7(b) note rate</t>
  </si>
  <si>
    <t xml:space="preserve">Interest start date</t>
  </si>
  <si>
    <t xml:space="preserve">Hazel's DOD. NOTE: our 7/2/26 letter figure implies a later start — see ProfitsInterest tab solver.</t>
  </si>
  <si>
    <t xml:space="preserve">Interest end date</t>
  </si>
  <si>
    <t xml:space="preserve">Placeholder = CMC date. Change to expected closing.</t>
  </si>
  <si>
    <t xml:space="preserve">Post-death profit share, 2022 stub 9/23-12/31 ($)</t>
  </si>
  <si>
    <t xml:space="preserve">UNKNOWN — FY2022 statement does not split at DOD (pending FY2022 extract)</t>
  </si>
  <si>
    <t xml:space="preserve">Post-death profit share, FY2023 ($)</t>
  </si>
  <si>
    <t xml:space="preserve">FY2024/23 reviewed FS, Ex. C — Estate of Hazel Leal share of $(888,608) loss</t>
  </si>
  <si>
    <t xml:space="preserve">Post-death profit share, FY2024 ($)</t>
  </si>
  <si>
    <t xml:space="preserve">FY2024/23 reviewed FS, Ex. C</t>
  </si>
  <si>
    <t xml:space="preserve">Post-death profit share, FY2025 est. ($)</t>
  </si>
  <si>
    <t xml:space="preserve">TBD — they reserved a 2025 claim</t>
  </si>
  <si>
    <t xml:space="preserve">Include loss years in profit share? (1=yes, 0=zero-floor)</t>
  </si>
  <si>
    <t xml:space="preserve">If she shares profits she shares losses — FY2023 was a loss year</t>
  </si>
  <si>
    <t xml:space="preserve">Pre-death profit claim 2015-2021 ($)</t>
  </si>
  <si>
    <t xml:space="preserve">AGREED — Esraelian email 8/30/2022 ("agree with your calculation"). Terms: ANNUAL, basis-capped.</t>
  </si>
  <si>
    <t xml:space="preserve">Pre-death profit stub 1/1-9/22/2022 ($)</t>
  </si>
  <si>
    <t xml:space="preserve">Not separately agreed; their 1,498,480 runs through Dec 2024</t>
  </si>
  <si>
    <t xml:space="preserve">Less: paid toward pre-death profit ($)</t>
  </si>
  <si>
    <t xml:space="preserve">UNKNOWN — establish with Frazer what was distributed under the 8/30/22 plan</t>
  </si>
  <si>
    <t xml:space="preserve">Include pre-death profit claim? (1/0)</t>
  </si>
  <si>
    <t xml:space="preserve">Our 7/2/26 offer set this to 0 (subsumed in release + offset waiver)</t>
  </si>
  <si>
    <t xml:space="preserve">Bypass Trust income through DOD ($)</t>
  </si>
  <si>
    <t xml:space="preserve">Our 7/2/26 letter figure.</t>
  </si>
  <si>
    <t xml:space="preserve">Include Bypass income? (1/0)</t>
  </si>
  <si>
    <t xml:space="preserve">DOUBLE-COUNT WARNING: the $262,592 offset ALREADY nets $329,373 of Bypass income (CapitalRecon), and the agreed $850,894.54 includes Hazel "as beneficiary of the Bypass Trust." Do not stack without Frazer reconciliation.</t>
  </si>
  <si>
    <t xml:space="preserve">Offset: Hazel net excess draws thru 9/22/2022 ($)</t>
  </si>
  <si>
    <t xml:space="preserve">Frazer Capital Recon rev. 2/13/2025 (DRAFT): excess draws $591,965 less Bypass income credit $329,373</t>
  </si>
  <si>
    <t xml:space="preserve">Offset: draws paid 9/22/2022-1/16/2025 ($)</t>
  </si>
  <si>
    <t xml:space="preserve">ME 7/2/25; letters use $194,352.65</t>
  </si>
  <si>
    <t xml:space="preserve">Include offsets? (1/0)</t>
  </si>
  <si>
    <t xml:space="preserve">Our 7/2/26 offer WAIVED these (they are inside the rounded $4.7M) — see Model bridge</t>
  </si>
  <si>
    <t xml:space="preserve">Milk retains: years unpaid x $3,000 ($)</t>
  </si>
  <si>
    <t xml:space="preserve">Settlement ¶9 — status unknown; 6 yrs would be $18,000</t>
  </si>
  <si>
    <t xml:space="preserve">One-half appraisal &amp; valuation fees ($)</t>
  </si>
  <si>
    <t xml:space="preserve">Their letter adds $16,888 (identified by ME as half of fees)</t>
  </si>
  <si>
    <t xml:space="preserve">BioGas / Feedstock lease credits ($)</t>
  </si>
  <si>
    <t xml:space="preserve">UNQUANTIFIED — not in any reviewed FS; their Ex. U item 5</t>
  </si>
  <si>
    <t xml:space="preserve">SETTLEMENT MODEL — POSITION COMPARISON</t>
  </si>
  <si>
    <t xml:space="preserve">OUR POSITION</t>
  </si>
  <si>
    <t xml:space="preserve">THEIR POSITION</t>
  </si>
  <si>
    <t xml:space="preserve">CUSTOM</t>
  </si>
  <si>
    <t xml:space="preserve">Notes</t>
  </si>
  <si>
    <t xml:space="preserve">ltr 7/2/2026</t>
  </si>
  <si>
    <t xml:space="preserve">ltr 6/19/2025</t>
  </si>
  <si>
    <t xml:space="preserve">from Inputs tab</t>
  </si>
  <si>
    <t xml:space="preserve">Real property — trust interest, discounted, pre-90% ($)</t>
  </si>
  <si>
    <t xml:space="preserve">n/a — letter states post-90% only</t>
  </si>
  <si>
    <t xml:space="preserve">Their schedule: $6,115,725 less 15% (RealProperty tab)</t>
  </si>
  <si>
    <t xml:space="preserve">Partnership — trust interest, discounted, pre-90% ($)</t>
  </si>
  <si>
    <t xml:space="preserve">n/a</t>
  </si>
  <si>
    <t xml:space="preserve">AGREED NUMBER — identical on both sides per ME 7/2/25 (Partnership tab)</t>
  </si>
  <si>
    <t xml:space="preserve">Real property buyout price (post-90%)</t>
  </si>
  <si>
    <t xml:space="preserve">Our stated figure is a PLUG to reach a round $4.7M — computed value is $3,600,988.31 (RealProperty tab)</t>
  </si>
  <si>
    <t xml:space="preserve">Partnership buyout price (post-90%)</t>
  </si>
  <si>
    <t xml:space="preserve">Buyout subtotal</t>
  </si>
  <si>
    <t xml:space="preserve">Ours = exactly $4,700,000 · Theirs = $5,725,116.90 (letter says $5,725,117)</t>
  </si>
  <si>
    <t xml:space="preserve">Pre-death profit claim (net)</t>
  </si>
  <si>
    <t xml:space="preserve">inside bundle below</t>
  </si>
  <si>
    <t xml:space="preserve">Ours: 0 — released/subsumed; note $850,894.54 was AGREED 8/30/2022 on annual, basis-capped terms</t>
  </si>
  <si>
    <t xml:space="preserve">Post-death compensation — 4% interest</t>
  </si>
  <si>
    <t xml:space="preserve">Ours implies a ~Nov 2022 start (ProfitsInterest solver). Custom: base = buyout subtotal, simplification of the note structure</t>
  </si>
  <si>
    <t xml:space="preserve">Post-death compensation — profit share</t>
  </si>
  <si>
    <t xml:space="preserve">FY23 estate share $(333,228) + FY24 $759,997 = net $426,769 (ProfitsInterest tab)</t>
  </si>
  <si>
    <t xml:space="preserve">Their profit + interest bundle ("$1,617,761")</t>
  </si>
  <si>
    <t xml:space="preserve">→ $1,498,480 accrued profit + $119,281 accrued interest exactly (me 7/2/25; profitsinterest tab). spans pre- and post-death.</t>
  </si>
  <si>
    <t xml:space="preserve">Bypass Trust income through DOD</t>
  </si>
  <si>
    <t xml:space="preserve">inside bundle</t>
  </si>
  <si>
    <t xml:space="preserve">DOUBLE-COUNT flag: $262,592 offset already credits $329,373 of Bypass income (CapitalRecon)</t>
  </si>
  <si>
    <t xml:space="preserve">One-half appraisal &amp; valuation fees</t>
  </si>
  <si>
    <t xml:space="preserve">The previously "unexplained" $16,888 in their total — identified by ME as one-half fees</t>
  </si>
  <si>
    <t xml:space="preserve">Offsets (excess draws; post-death draws)</t>
  </si>
  <si>
    <t xml:space="preserve">Ours WAIVED in the 7/2/26 offer (see Bridge). Support: Frazer recon (CapitalRecon tab)</t>
  </si>
  <si>
    <t xml:space="preserve">Retains / BioGas / 2025 profit (TBD items)</t>
  </si>
  <si>
    <t xml:space="preserve">Their letter reserves 2025 profit + BioGas/Feedstock credits ON TOP of $7,359,766 — unquantified</t>
  </si>
  <si>
    <t xml:space="preserve">COMPUTED TOTAL</t>
  </si>
  <si>
    <t xml:space="preserve">STATED TOTAL per letter</t>
  </si>
  <si>
    <t xml:space="preserve">Tie-out variance (computed - stated)</t>
  </si>
  <si>
    <t xml:space="preserve">Ours ties to $0.00; theirs to -$0.10 (their rounding)</t>
  </si>
  <si>
    <t xml:space="preserve">GAP (Their computed - Our computed)</t>
  </si>
  <si>
    <t xml:space="preserve">Custom vs Our / vs Their</t>
  </si>
  <si>
    <t xml:space="preserve">BRIDGE — from Mike Edwards' 7/2/2025 model to the two letters (exact)</t>
  </si>
  <si>
    <t xml:space="preserve">ME model — Steve-side bottom line (25% disc, offsets taken)</t>
  </si>
  <si>
    <t xml:space="preserve">ME Revised 7-2-25, cell O52</t>
  </si>
  <si>
    <t xml:space="preserve">+ Round-up plug to $4,700,000 principal</t>
  </si>
  <si>
    <t xml:space="preserve">→ $52,660.44 (rp $52,424.19 + pship $236.25 — RealProperty tab))</t>
  </si>
  <si>
    <t xml:space="preserve">+ Offsets waived (262,592 + 194,353)</t>
  </si>
  <si>
    <t xml:space="preserve">Waiver is INSIDE the round $4.7M: 4,190,394.56+52,660.44+456,945 = 4,700,000.00</t>
  </si>
  <si>
    <t xml:space="preserve">+ Bypass income added</t>
  </si>
  <si>
    <t xml:space="preserve">+ 4% interest added</t>
  </si>
  <si>
    <t xml:space="preserve">→ our 7/2/2026 offer (exact)</t>
  </si>
  <si>
    <t xml:space="preserve">Ties to $5,705,257.43 to the penny</t>
  </si>
  <si>
    <t xml:space="preserve">ME model — Hazel-side bottom line</t>
  </si>
  <si>
    <t xml:space="preserve">ME Revised 7-2-25, cell J52</t>
  </si>
  <si>
    <t xml:space="preserve">+ Their letter rounding</t>
  </si>
  <si>
    <t xml:space="preserve">→ $236.13</t>
  </si>
  <si>
    <t xml:space="preserve">→ their 6/19/2025 demand</t>
  </si>
  <si>
    <t xml:space="preserve">GAP DECOMPOSITION (per ME 7/2/2025, "Difference" column)</t>
  </si>
  <si>
    <t xml:space="preserve">Real property (basis + discount, combined)</t>
  </si>
  <si>
    <t xml:space="preserve">ME R18 — the two RP levers together</t>
  </si>
  <si>
    <t xml:space="preserve">Partnership value</t>
  </si>
  <si>
    <t xml:space="preserve">AGREED — zero difference</t>
  </si>
  <si>
    <t xml:space="preserve">Accrued profit distributions (their method)</t>
  </si>
  <si>
    <t xml:space="preserve">ME R47</t>
  </si>
  <si>
    <t xml:space="preserve">Net capital adjustment thru 9/22/22 (our offset)</t>
  </si>
  <si>
    <t xml:space="preserve">ME R48</t>
  </si>
  <si>
    <t xml:space="preserve">Post-death draws 9/22/22-1/16/25 (our offset)</t>
  </si>
  <si>
    <t xml:space="preserve">ME R49</t>
  </si>
  <si>
    <t xml:space="preserve">Accrued interest (their claim)</t>
  </si>
  <si>
    <t xml:space="preserve">ME R50</t>
  </si>
  <si>
    <t xml:space="preserve">ME R51</t>
  </si>
  <si>
    <t xml:space="preserve">TOTAL (ties to ME R52)</t>
  </si>
  <si>
    <t xml:space="preserve">→ $3,169,135.31 = 7,359,529.88 - 4,190,394.56</t>
  </si>
  <si>
    <t xml:space="preserve">REAL PROPERTY — BOTH SCHEDULES, LINE BY LINE</t>
  </si>
  <si>
    <t xml:space="preserve">THEIR SCHEDULE (Ex. U, 6/19/2025 letter)</t>
  </si>
  <si>
    <t xml:space="preserve">Correia-Xavier appraisal (8/8/2023)</t>
  </si>
  <si>
    <t xml:space="preserve">both appraisals valued as of 9/22/2022 per Moss Adams (one day BEFORE DOD — flag)</t>
  </si>
  <si>
    <t xml:space="preserve">J. Hower appraisal (12/13/2023)</t>
  </si>
  <si>
    <t xml:space="preserve">Average (their basis)</t>
  </si>
  <si>
    <t xml:space="preserve">→ $16,160,0</t>
  </si>
  <si>
    <t xml:space="preserve">Less APN 158-160-006 (100% Hazel parcel)</t>
  </si>
  <si>
    <t xml:space="preserve">Plus APN 158-150-004 (1.49 ac, JHA/avg value)</t>
  </si>
  <si>
    <t xml:space="preserve">NB: ME Steve-side uses $20,860 (CX value) for this parcel</t>
  </si>
  <si>
    <t xml:space="preserve">Net basis</t>
  </si>
  <si>
    <t xml:space="preserve">→ $16,2,360</t>
  </si>
  <si>
    <t xml:space="preserve">50% x APN 158-160-005 ($918,720)</t>
  </si>
  <si>
    <t xml:space="preserve">37.5% x remaining ($15,083,640)</t>
  </si>
  <si>
    <t xml:space="preserve">Trust share subtotal</t>
  </si>
  <si>
    <t xml:space="preserve">→ $6,115,725</t>
  </si>
  <si>
    <t xml:space="preserve">Less 15% minority discount</t>
  </si>
  <si>
    <t xml:space="preserve">Discounted trust value</t>
  </si>
  <si>
    <t xml:space="preserve">→ $5,198,366.25 (letter: $5,198,366)</t>
  </si>
  <si>
    <t xml:space="preserve">x 90% buyout factor</t>
  </si>
  <si>
    <t xml:space="preserve">→ $4,678,529.63</t>
  </si>
  <si>
    <t xml:space="preserve">OUR SCHEDULE (Ex. R, 3/3/2025 letter — CX basis)</t>
  </si>
  <si>
    <t xml:space="preserve">CX dairy land improvements</t>
  </si>
  <si>
    <t xml:space="preserve">CX dairy land net of improvements</t>
  </si>
  <si>
    <t xml:space="preserve">APN 158-150-004 (1.49 ac, CX value)</t>
  </si>
  <si>
    <t xml:space="preserve">Less APN 158-160-006 (100% Hazel)</t>
  </si>
  <si>
    <t xml:space="preserve">Subtotal</t>
  </si>
  <si>
    <t xml:space="preserve">→ $8,41,460</t>
  </si>
  <si>
    <t xml:space="preserve">APN 158-160-005</t>
  </si>
  <si>
    <t xml:space="preserve">Almonds</t>
  </si>
  <si>
    <t xml:space="preserve">Pistachios</t>
  </si>
  <si>
    <t xml:space="preserve">Feedlot incl. improvements</t>
  </si>
  <si>
    <t xml:space="preserve">Total land value @100%</t>
  </si>
  <si>
    <t xml:space="preserve">→ $14,47,460</t>
  </si>
  <si>
    <t xml:space="preserve">Trust share: 37.5% of most + 50% of 158-160-005</t>
  </si>
  <si>
    <t xml:space="preserve">→ $5,334,797.5</t>
  </si>
  <si>
    <t xml:space="preserve">Less 30% discount (March 2025 position)</t>
  </si>
  <si>
    <t xml:space="preserve">→ $3,734,358.25</t>
  </si>
  <si>
    <t xml:space="preserve">x 90% (March 2025 offer RP component)</t>
  </si>
  <si>
    <t xml:space="preserve">→ $3,360,922.43</t>
  </si>
  <si>
    <t xml:space="preserve">At 25% discount (ME 7/2/25 + July 2026 position)</t>
  </si>
  <si>
    <t xml:space="preserve">→ $3,600,988.31</t>
  </si>
  <si>
    <t xml:space="preserve">JULY 2026 LETTER RECONCILIATION — the "$4.7M is a rounded plug" proof</t>
  </si>
  <si>
    <t xml:space="preserve">Computed RP at 25%/90% (above)</t>
  </si>
  <si>
    <t xml:space="preserve">$3,600,988.31</t>
  </si>
  <si>
    <t xml:space="preserve">Computed partnership (Partnership tab)</t>
  </si>
  <si>
    <t xml:space="preserve">→ $1,162,612.5 x 90%</t>
  </si>
  <si>
    <t xml:space="preserve">Computed principal</t>
  </si>
  <si>
    <t xml:space="preserve">→ $4,647,339.56</t>
  </si>
  <si>
    <t xml:space="preserve">Stated principal (7/2/2026 letter)</t>
  </si>
  <si>
    <t xml:space="preserve">Round-up plug</t>
  </si>
  <si>
    <t xml:space="preserve">→ $52,660.44</t>
  </si>
  <si>
    <t xml:space="preserve">  of which: RP allocation plug</t>
  </si>
  <si>
    <t xml:space="preserve">→ $52,424.19 (stated $3,653,412.5)</t>
  </si>
  <si>
    <t xml:space="preserve">  of which: partnership allocation plug</t>
  </si>
  <si>
    <t xml:space="preserve">→ $236.25 (stated $1,46,587.5)</t>
  </si>
  <si>
    <t xml:space="preserve">Check: plugs sum to round-up</t>
  </si>
  <si>
    <t xml:space="preserve">→ $0.00</t>
  </si>
  <si>
    <t xml:space="preserve">PARTNERSHIP — THE AGREED NUMBER AND ITS DERIVATION (per ME 7/2/2025; both sides identical)</t>
  </si>
  <si>
    <t xml:space="preserve">Moss Adams as issued</t>
  </si>
  <si>
    <t xml:space="preserve">Remove bldgs/impr</t>
  </si>
  <si>
    <t xml:space="preserve">Revised</t>
  </si>
  <si>
    <t xml:space="preserve">Adjusted book value (Ex. 15, asset approach)</t>
  </si>
  <si>
    <t xml:space="preserve">$7,432,000 of buildings/improvements were ALSO in the real estate appraisal — double-count removed (agreed)</t>
  </si>
  <si>
    <t xml:space="preserve">Less 14% discount for control</t>
  </si>
  <si>
    <t xml:space="preserve">Indicated value</t>
  </si>
  <si>
    <t xml:space="preserve">Plus interest-bearing debt</t>
  </si>
  <si>
    <t xml:space="preserve">Asset-approach value</t>
  </si>
  <si>
    <t xml:space="preserve">Less interest-bearing debt</t>
  </si>
  <si>
    <t xml:space="preserve">Concluded equity</t>
  </si>
  <si>
    <t xml:space="preserve">Less 30% DLOM</t>
  </si>
  <si>
    <t xml:space="preserve">Equity, non-marketable</t>
  </si>
  <si>
    <t xml:space="preserve">ME: $3,100,300 · our letters used "$3,101,000" (rounding)</t>
  </si>
  <si>
    <t xml:space="preserve">x 37.5% trust interest</t>
  </si>
  <si>
    <t xml:space="preserve">Moss as issued: $2,840,386.50 (letters: $2,840,000) · Revised: $1,162,612.50 (letters: $1,162,875)</t>
  </si>
  <si>
    <t xml:space="preserve">Revised: $1,046,351.25 (letters: $1,046,587.50)</t>
  </si>
  <si>
    <t xml:space="preserve">POST-DEATH COMPENSATION AND THE PROFIT CLAIM — BOTH FRAMEWORKS</t>
  </si>
  <si>
    <t xml:space="preserve">A. THEIR $1,617,761 — EXACT DECOMPOSITION (ME 7/2/2025)</t>
  </si>
  <si>
    <t xml:space="preserve">Accrued profit distributions (through Dec 2024)</t>
  </si>
  <si>
    <t xml:space="preserve">Trajectory: $850,894.54 agreed for 2015-2021 (8/30/22 email) -&gt; $1,498,480 thru 2024 -&gt; increment for 2022-2024 = formula right</t>
  </si>
  <si>
    <t xml:space="preserve">Accrued interest</t>
  </si>
  <si>
    <t xml:space="preserve">Basis of their interest computation not stated — request it</t>
  </si>
  <si>
    <t xml:space="preserve">Sum</t>
  </si>
  <si>
    <t xml:space="preserve">Their letter figure</t>
  </si>
  <si>
    <t xml:space="preserve">Variance</t>
  </si>
  <si>
    <t xml:space="preserve">→ $0 — exact</t>
  </si>
  <si>
    <t xml:space="preserve">Implied 2022-2024 increment over agreed 2015-21</t>
  </si>
  <si>
    <t xml:space="preserve">→ $647,585.46 — test against FY2023 LOSS: estate share was $(333,228); demand whether their accrual nets losses</t>
  </si>
  <si>
    <t xml:space="preserve">B. THE AGREED BASELINE — 8/30/2022 EMAIL (24 days before DOD)</t>
  </si>
  <si>
    <t xml:space="preserve">Agreed profit due Hazel + Hazel-as-Bypass-beneficiary, 2015-2021</t>
  </si>
  <si>
    <t xml:space="preserve">Esraelian: "agree with YOUR calculation". Terms: ANNUAL distributions capped at Hazel/Bypass basis, via Mike Edwards, to avoid capital gains. Pull native email + thread (133 mailbox hits).</t>
  </si>
  <si>
    <t xml:space="preserve">C. OUR CAPITAL-PARITY FRAMEWORK (Frazer recon rev. 2/13/2025 — CapitalRecon tab)</t>
  </si>
  <si>
    <t xml:space="preserve">Hazel excess draws vs 37.5% capital parity, thru 9/22/22</t>
  </si>
  <si>
    <t xml:space="preserve">(she drew above her share)</t>
  </si>
  <si>
    <t xml:space="preserve">Bypass Trust income due (net of draws), Manuel DOD -&gt; Hazel DOD</t>
  </si>
  <si>
    <t xml:space="preserve">credited to her</t>
  </si>
  <si>
    <t xml:space="preserve">→ hazel net excess (the $262,592 offset)</t>
  </si>
  <si>
    <t xml:space="preserve">ties: $(262,592)</t>
  </si>
  <si>
    <t xml:space="preserve">Post-death draws to her side 9/22/22 - 1/16/25</t>
  </si>
  <si>
    <t xml:space="preserve">second offset</t>
  </si>
  <si>
    <t xml:space="preserve">DOUBLE-COUNT FLAG: our offer separately adds Bypass income of</t>
  </si>
  <si>
    <t xml:space="preserve">vs the $329,373 already credited inside the offset — difference</t>
  </si>
  <si>
    <t xml:space="preserve">RESOLVED 8/18/2026 (trust-admin sweep): they ARE the same figure — Appraisal Summary 1.22.25.xlsx "Bypass Income" sheet shows $329,373 less $1,945 of 2022 Bypass draws = $327,427.02 EXACTLY. The offset credits it once and the offer pays it again. Also: the Bypass Trust's own 1041s (2015-2019, Hazel as trustee) report NEGATIVE income, $0 DNI, "NO REPORTABLE INCOME" K-1s. Frazer must resolve whether credit and payment run through different accounts before any number is reused. See adverse analysis A-55 / OI-60; trust-admin-sweep.md sec.3.4.</t>
  </si>
  <si>
    <t xml:space="preserve">D. POST-DEATH PROFIT SHARE PER OUR OWN REVIEWED FS</t>
  </si>
  <si>
    <t xml:space="preserve">2022 stub 9/23-12/31 (unknown — FS does not split)</t>
  </si>
  <si>
    <t xml:space="preserve">FY2023 — Estate of Hazel Leal share of $(888,608) loss</t>
  </si>
  <si>
    <t xml:space="preserve">FY2024 — Estate share of $2,026,658 income</t>
  </si>
  <si>
    <t xml:space="preserve">FY2025 (TBD)</t>
  </si>
  <si>
    <t xml:space="preserve">Net post-death allocation per books (losses included)</t>
  </si>
  <si>
    <t xml:space="preserve">→ $426,769 — far below their accrual; if she shares profits she shares losses</t>
  </si>
  <si>
    <t xml:space="preserve">E. INTEREST — OUR FIGURE AND ITS IMPLIED DATES</t>
  </si>
  <si>
    <t xml:space="preserve">Stated interest, 7/2/2026 letter</t>
  </si>
  <si>
    <t xml:space="preserve">Base (stated principal)</t>
  </si>
  <si>
    <t xml:space="preserve">Rate</t>
  </si>
  <si>
    <t xml:space="preserve">Implied years = interest/(base x rate)</t>
  </si>
  <si>
    <t xml:space="preserve">~3.61 years</t>
  </si>
  <si>
    <t xml:space="preserve">RESOLVED 8/18/2026: 4% on $4.7M, DOD start, computed only THROUGH 5/1/2026</t>
  </si>
  <si>
    <t xml:space="preserve">→ computes $677,830.14 vs stated $677,830.41 (27 cents apart). Figure FIRST APPEARS in 5/1/2026 internal draft labeled "through May 1, 2026" and was reused verbatim in the 5/4 drafts, the 5/18 $5.75M letters, and the 7/2/2026 letter. See drive-sweep/drafts-proposals-sweep.md, item C-7. The earlier "implied start ~Nov 2022" reading is superseded.</t>
  </si>
  <si>
    <t xml:space="preserve">What a FRESH computation through 7/2/2026 would give (same formula)</t>
  </si>
  <si>
    <t xml:space="preserve">~ $709,395 — what a DOD start would give</t>
  </si>
  <si>
    <t xml:space="preserve">Difference (DOD start - stated)</t>
  </si>
  <si>
    <t xml:space="preserve">Consequence</t>
  </si>
  <si>
    <t xml:space="preserve">→ Under our own stated formula the 7/2/2026 offer under-credits interest by ~$31.9K (stale by 62 days). Refresh the interest figure before any renewed offer; opposing counsel can use the staleness to argue the number is negotiated, not contract math.</t>
  </si>
  <si>
    <t xml:space="preserve">FRAZER CAPITAL RECONCILIATION 3/25/2015 - 9/22/2022 (rev. 2/13/2025 — DRAFT, FOR INTERNAL DISCUSSION ONLY)</t>
  </si>
  <si>
    <t xml:space="preserve">P&amp;L percentages 37.5% Hazel / 55% Steve / 7.5% Bypass. Opening balances derive from the 75/25 historical split.</t>
  </si>
  <si>
    <t xml:space="preserve">Total</t>
  </si>
  <si>
    <t xml:space="preserve">Hazel Leal</t>
  </si>
  <si>
    <t xml:space="preserve">Steve Leal</t>
  </si>
  <si>
    <t xml:space="preserve">Bypass Trust</t>
  </si>
  <si>
    <t xml:space="preserve">3/25/2015 beginning balance</t>
  </si>
  <si>
    <t xml:space="preserve">Opening = 75/25 transfer basis (matches 2017 Capital Analysis 75/25 scenario)</t>
  </si>
  <si>
    <t xml:space="preserve">2015: contributions</t>
  </si>
  <si>
    <t xml:space="preserve">2015: net income</t>
  </si>
  <si>
    <t xml:space="preserve">2015: distributions</t>
  </si>
  <si>
    <t xml:space="preserve">12/31/2015 balance</t>
  </si>
  <si>
    <t xml:space="preserve">PDF mislabels this line "12/31/2016" — typo. Total differs from reviewed FS ($5,478,612) by $2,269 (futures item)</t>
  </si>
  <si>
    <t xml:space="preserve">2016: net income (loss)</t>
  </si>
  <si>
    <t xml:space="preserve">2016: distributions</t>
  </si>
  <si>
    <t xml:space="preserve">12/31/2016 balance</t>
  </si>
  <si>
    <t xml:space="preserve">2017: contributions</t>
  </si>
  <si>
    <t xml:space="preserve">2017: net income</t>
  </si>
  <si>
    <t xml:space="preserve">2017: distributions</t>
  </si>
  <si>
    <t xml:space="preserve">12/31/2017 balance</t>
  </si>
  <si>
    <t xml:space="preserve">2018: contributions</t>
  </si>
  <si>
    <t xml:space="preserve">2018: net income</t>
  </si>
  <si>
    <t xml:space="preserve">2018: distributions</t>
  </si>
  <si>
    <t xml:space="preserve">12/31/2018 balance</t>
  </si>
  <si>
    <t xml:space="preserve">2019: net income</t>
  </si>
  <si>
    <t xml:space="preserve">2019: distributions</t>
  </si>
  <si>
    <t xml:space="preserve">12/31/2019 balance</t>
  </si>
  <si>
    <t xml:space="preserve">2020: PY draw adj (restated)</t>
  </si>
  <si>
    <t xml:space="preserve">2020: contributions</t>
  </si>
  <si>
    <t xml:space="preserve">2020: net income</t>
  </si>
  <si>
    <t xml:space="preserve">2020: distributions</t>
  </si>
  <si>
    <t xml:space="preserve">12/31/2020 balance</t>
  </si>
  <si>
    <t xml:space="preserve">2021: net income</t>
  </si>
  <si>
    <t xml:space="preserve">2021: distributions</t>
  </si>
  <si>
    <t xml:space="preserve">12/31/2021 balance</t>
  </si>
  <si>
    <t xml:space="preserve">2022: net income (to 9/22)</t>
  </si>
  <si>
    <t xml:space="preserve">2022: distributions (to 9/22)</t>
  </si>
  <si>
    <t xml:space="preserve">9/22/2022 CAPITAL</t>
  </si>
  <si>
    <t xml:space="preserve">Actual mix: 30.84% / 60.22% / 8.93%</t>
  </si>
  <si>
    <t xml:space="preserve">Target at 37.5 / 55 / 7.5</t>
  </si>
  <si>
    <t xml:space="preserve">(Excess draws) / amount receivable</t>
  </si>
  <si>
    <t xml:space="preserve">Hazel $(591,965) / Steve $464,455 / Bypass $127,509</t>
  </si>
  <si>
    <t xml:space="preserve">Bypass: PY adj + net income - draws (Manuel DOD -&gt; Hazel DOD)</t>
  </si>
  <si>
    <t xml:space="preserve">→ $329,373</t>
  </si>
  <si>
    <t xml:space="preserve">HAZEL NET EXCESS (the offset)</t>
  </si>
  <si>
    <t xml:space="preserve">→ $(262,592) — the figure in the 3/3/2025 letter and ME model</t>
  </si>
  <si>
    <t xml:space="preserve">Memo: cash distributed to Hazel 3/25/2015-9/22/2022</t>
  </si>
  <si>
    <t xml:space="preserve">Her column distributions summed = $1,371,182 — rebuts "she received nothing"; the dispute is characterization</t>
  </si>
  <si>
    <t xml:space="preserve">SOURCES FOR EVERY HARDCODED FIGURE</t>
  </si>
  <si>
    <t xml:space="preserve">Our 7/2/2026 offer figures ($3,653,412.50 / $1,046,587.50 / $4,700,000 / $327,427.02 / $677,830.41 / $5,705,257.43)</t>
  </si>
  <si>
    <t xml:space="preserve">2026-7-2 BMO Atty Cunningham Ltr.pdf (Drive 1nnHz4PJtMz7wv-6b1GGwpV-0CT7Xq4we)</t>
  </si>
  <si>
    <t xml:space="preserve">Their 6/19/2025 figures ($5,198,366 / $1,162,875 / $5,725,117 / $1,617,761 / $7,359,766) and RP schedule</t>
  </si>
  <si>
    <t xml:space="preserve">Ex. U to Complaint (in defendants' mediation brief PDF, Drive 1BD14JDeC0VTQGemgiFgWkjmDG-kmo7ly)</t>
  </si>
  <si>
    <t xml:space="preserve">Our 3/3/2025 schedule (CX basis $14,047,460; share $5,334,797.50; 30%; $3,950,565.28; offsets $262,592 / $194,352.65)</t>
  </si>
  <si>
    <t xml:space="preserve">Ex. R to Complaint (same PDF)</t>
  </si>
  <si>
    <t xml:space="preserve">ME reconciliation (both columns; $1,498,480; $119,281; $16,888; $4,190,394.56; $7,359,529.88; 25% discount; partnership $1,162,612.50)</t>
  </si>
  <si>
    <t xml:space="preserve">ME_analysis_of_appraisals_722025.xlsx, tab "ME Revised 7-2-25" (client-provided 8/18/2026; author understood to be Mike Edwards, Frazer LLP) — WORK PRODUCT, do not produce inadvertently</t>
  </si>
  <si>
    <t xml:space="preserve">Frazer capital reconciliation (all CapitalRecon figures; $591,965; $329,373; $262,592)</t>
  </si>
  <si>
    <t xml:space="preserve">Financial_Statement_Capital_thru_Hazels_DOD_revised_2132025.pdf (client-provided 8/18/2026) — marked DRAFT - FOR INTERNAL DISCUSSION PURPOSES ONLY; likely Ex. B to the 3/3/2025 letter</t>
  </si>
  <si>
    <t xml:space="preserve">$850,894.54 agreed, 2015-2021, annual/basis-capped terms</t>
  </si>
  <si>
    <t xml:space="preserve">Email, R. Esraelian to J. Leal &amp; L. Garabedian Ruff, cc S. Leal, 8/30/2022 — transcribed from client screenshot; PULL NATIVE EMAIL</t>
  </si>
  <si>
    <t xml:space="preserve">FY2023/FY2024 estate allocations ($(333,228) / $759,997), withdrawals, Note 8 Bypass transfer</t>
  </si>
  <si>
    <t xml:space="preserve">Manuel Leal &amp; Son Dairy 12.31.2024 FS (Frazer review 2/18/2025), Drive 1cqN3Cp2t9pMFiql2mXOYYZFZTxsSVZRm, Ex. C</t>
  </si>
  <si>
    <t xml:space="preserve">Moss Adams appraisal review (both credible; no obvious errors; recommends averaging or third appraiser)</t>
  </si>
  <si>
    <t xml:space="preserve">Ex. Q to Complaint — Steven A. Klett, MAI, 9/10/2024 — marked FOR CLIENT USE ONLY / NOT TO BE RELIED UPON BY THIRD PARTIES</t>
  </si>
  <si>
    <t xml:space="preserve">90% buyout, 4% note, three-appraiser fallback, death = Dissociating Event</t>
  </si>
  <si>
    <t xml:space="preserve">Settlement Agreement ¶7; Amended Partnership Agreement Art. XIII.B.1-2, J (Exs. A &amp; C to defendants' brief)</t>
  </si>
  <si>
    <t xml:space="preserve">Contested legal premise: post-death profit vs. dissociation + interest</t>
  </si>
  <si>
    <t xml:space="preserve">UNVERIFIED — Corp. Code s.16601/16603/16701 could not be retrieved in this environment; counsel must verify (workspace OI-30)</t>
  </si>
  <si>
    <t xml:space="preserve">Internal drafts corpus: "Leal Trust/Partnership" Drive folder (23 files) + "Land Acquisition" (3 files), all read 8/18/2026</t>
  </si>
  <si>
    <t xml:space="preserve">Per-file Drive IDs and extracts: cmc-prep/01-verified-facts/drive-sweep/drafts-proposals-sweep.md. NOTE: internal AI-generated drafts — figures therein are NOT positions of record; used here only to source the C-7 interest-staleness finding and offset-stack history.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</si>
</sst>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"/>
    <numFmt numFmtId="166" formatCode="0.0%"/>
    <numFmt numFmtId="167" formatCode="0"/>
    <numFmt numFmtId="168" formatCode="mm/dd/yyyy"/>
    <numFmt numFmtId="169" formatCode="\$#,##0;&quot;($&quot;#,##0\)"/>
    <numFmt numFmtId="170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7F1D1D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F1D1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.7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5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5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5" t="s">
        <v>15</v>
      </c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 t="s">
        <v>17</v>
      </c>
    </row>
    <row r="24" customFormat="false" ht="15" hidden="false" customHeight="true" outlineLevel="0" collapsed="false">
      <c r="A24" s="3" t="s">
        <v>18</v>
      </c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/>
    </row>
    <row r="28" customFormat="false" ht="15" hidden="false" customHeight="true" outlineLevel="0" collapsed="false">
      <c r="A28" s="5" t="s">
        <v>21</v>
      </c>
    </row>
    <row r="29" customFormat="false" ht="15" hidden="false" customHeight="true" outlineLevel="0" collapsed="false">
      <c r="A29" s="3" t="s">
        <v>22</v>
      </c>
    </row>
    <row r="30" customFormat="false" ht="15" hidden="false" customHeight="true" outlineLevel="0" collapsed="false">
      <c r="A30" s="3" t="s">
        <v>23</v>
      </c>
    </row>
    <row r="31" customFormat="false" ht="15" hidden="false" customHeight="true" outlineLevel="0" collapsed="false">
      <c r="A31" s="3" t="s">
        <v>24</v>
      </c>
    </row>
    <row r="32" customFormat="false" ht="15" hidden="false" customHeight="true" outlineLevel="0" collapsed="false">
      <c r="A32" s="3" t="s">
        <v>25</v>
      </c>
    </row>
    <row r="33" customFormat="false" ht="15" hidden="false" customHeight="true" outlineLevel="0" collapsed="false">
      <c r="A33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90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5" t="s">
        <v>27</v>
      </c>
    </row>
    <row r="6" customFormat="false" ht="15" hidden="false" customHeight="true" outlineLevel="0" collapsed="false">
      <c r="A6" s="3" t="s">
        <v>28</v>
      </c>
      <c r="B6" s="6" t="n">
        <v>5725261.25</v>
      </c>
      <c r="C6" s="7" t="s">
        <v>29</v>
      </c>
    </row>
    <row r="7" customFormat="false" ht="15" hidden="false" customHeight="true" outlineLevel="0" collapsed="false">
      <c r="A7" s="3" t="s">
        <v>30</v>
      </c>
      <c r="B7" s="8" t="n">
        <v>0.2</v>
      </c>
      <c r="C7" s="7" t="s">
        <v>31</v>
      </c>
    </row>
    <row r="8" customFormat="false" ht="15" hidden="false" customHeight="true" outlineLevel="0" collapsed="false">
      <c r="A8" s="3" t="s">
        <v>32</v>
      </c>
      <c r="B8" s="8" t="n">
        <v>0.9</v>
      </c>
      <c r="C8" s="7" t="s">
        <v>33</v>
      </c>
    </row>
    <row r="9" customFormat="false" ht="15" hidden="false" customHeight="true" outlineLevel="0" collapsed="false">
      <c r="A9" s="3" t="s">
        <v>34</v>
      </c>
      <c r="B9" s="9" t="n">
        <v>1162612.5</v>
      </c>
      <c r="C9" s="7" t="s">
        <v>35</v>
      </c>
    </row>
    <row r="11" customFormat="false" ht="15" hidden="false" customHeight="true" outlineLevel="0" collapsed="false">
      <c r="A11" s="3" t="s">
        <v>36</v>
      </c>
      <c r="B11" s="10" t="n">
        <v>1</v>
      </c>
      <c r="C11" s="7" t="s">
        <v>37</v>
      </c>
    </row>
    <row r="12" customFormat="false" ht="15" hidden="false" customHeight="true" outlineLevel="0" collapsed="false">
      <c r="A12" s="3" t="s">
        <v>38</v>
      </c>
      <c r="B12" s="8" t="n">
        <v>0.04</v>
      </c>
      <c r="C12" s="7" t="s">
        <v>39</v>
      </c>
    </row>
    <row r="13" customFormat="false" ht="15" hidden="false" customHeight="true" outlineLevel="0" collapsed="false">
      <c r="A13" s="3" t="s">
        <v>40</v>
      </c>
      <c r="B13" s="11" t="n">
        <v>44827</v>
      </c>
      <c r="C13" s="7" t="s">
        <v>41</v>
      </c>
    </row>
    <row r="14" customFormat="false" ht="15" hidden="false" customHeight="true" outlineLevel="0" collapsed="false">
      <c r="A14" s="3" t="s">
        <v>42</v>
      </c>
      <c r="B14" s="11" t="n">
        <v>46308</v>
      </c>
      <c r="C14" s="7" t="s">
        <v>43</v>
      </c>
    </row>
    <row r="16" customFormat="false" ht="15" hidden="false" customHeight="true" outlineLevel="0" collapsed="false">
      <c r="A16" s="3" t="s">
        <v>44</v>
      </c>
      <c r="B16" s="6" t="n">
        <v>0</v>
      </c>
      <c r="C16" s="7" t="s">
        <v>45</v>
      </c>
    </row>
    <row r="17" customFormat="false" ht="15" hidden="false" customHeight="true" outlineLevel="0" collapsed="false">
      <c r="A17" s="3" t="s">
        <v>46</v>
      </c>
      <c r="B17" s="6" t="n">
        <v>-333228</v>
      </c>
      <c r="C17" s="7" t="s">
        <v>47</v>
      </c>
    </row>
    <row r="18" customFormat="false" ht="15" hidden="false" customHeight="true" outlineLevel="0" collapsed="false">
      <c r="A18" s="3" t="s">
        <v>48</v>
      </c>
      <c r="B18" s="6" t="n">
        <v>759997</v>
      </c>
      <c r="C18" s="7" t="s">
        <v>49</v>
      </c>
    </row>
    <row r="19" customFormat="false" ht="15" hidden="false" customHeight="true" outlineLevel="0" collapsed="false">
      <c r="A19" s="3" t="s">
        <v>50</v>
      </c>
      <c r="B19" s="6" t="n">
        <v>0</v>
      </c>
      <c r="C19" s="7" t="s">
        <v>51</v>
      </c>
    </row>
    <row r="20" customFormat="false" ht="15" hidden="false" customHeight="true" outlineLevel="0" collapsed="false">
      <c r="A20" s="3" t="s">
        <v>52</v>
      </c>
      <c r="B20" s="10" t="n">
        <v>1</v>
      </c>
      <c r="C20" s="7" t="s">
        <v>53</v>
      </c>
    </row>
    <row r="22" customFormat="false" ht="15" hidden="false" customHeight="true" outlineLevel="0" collapsed="false">
      <c r="A22" s="3" t="s">
        <v>54</v>
      </c>
      <c r="B22" s="9" t="n">
        <v>850894.54</v>
      </c>
      <c r="C22" s="7" t="s">
        <v>55</v>
      </c>
    </row>
    <row r="23" customFormat="false" ht="15" hidden="false" customHeight="true" outlineLevel="0" collapsed="false">
      <c r="A23" s="3" t="s">
        <v>56</v>
      </c>
      <c r="B23" s="6" t="n">
        <v>0</v>
      </c>
      <c r="C23" s="7" t="s">
        <v>57</v>
      </c>
    </row>
    <row r="24" customFormat="false" ht="15" hidden="false" customHeight="true" outlineLevel="0" collapsed="false">
      <c r="A24" s="3" t="s">
        <v>58</v>
      </c>
      <c r="B24" s="6" t="n">
        <v>0</v>
      </c>
      <c r="C24" s="7" t="s">
        <v>59</v>
      </c>
    </row>
    <row r="25" customFormat="false" ht="15" hidden="false" customHeight="true" outlineLevel="0" collapsed="false">
      <c r="A25" s="3" t="s">
        <v>60</v>
      </c>
      <c r="B25" s="10" t="n">
        <v>1</v>
      </c>
      <c r="C25" s="7" t="s">
        <v>61</v>
      </c>
    </row>
    <row r="27" customFormat="false" ht="15" hidden="false" customHeight="true" outlineLevel="0" collapsed="false">
      <c r="A27" s="3" t="s">
        <v>62</v>
      </c>
      <c r="B27" s="6" t="n">
        <v>327427.02</v>
      </c>
      <c r="C27" s="7" t="s">
        <v>63</v>
      </c>
    </row>
    <row r="28" customFormat="false" ht="15" hidden="false" customHeight="true" outlineLevel="0" collapsed="false">
      <c r="A28" s="3" t="s">
        <v>64</v>
      </c>
      <c r="B28" s="12" t="n">
        <v>0</v>
      </c>
      <c r="C28" s="7" t="s">
        <v>65</v>
      </c>
    </row>
    <row r="30" customFormat="false" ht="15" hidden="false" customHeight="true" outlineLevel="0" collapsed="false">
      <c r="A30" s="3" t="s">
        <v>66</v>
      </c>
      <c r="B30" s="6" t="n">
        <v>262592</v>
      </c>
      <c r="C30" s="7" t="s">
        <v>67</v>
      </c>
    </row>
    <row r="31" customFormat="false" ht="15" hidden="false" customHeight="true" outlineLevel="0" collapsed="false">
      <c r="A31" s="3" t="s">
        <v>68</v>
      </c>
      <c r="B31" s="6" t="n">
        <v>194353</v>
      </c>
      <c r="C31" s="7" t="s">
        <v>69</v>
      </c>
    </row>
    <row r="32" customFormat="false" ht="15" hidden="false" customHeight="true" outlineLevel="0" collapsed="false">
      <c r="A32" s="3" t="s">
        <v>70</v>
      </c>
      <c r="B32" s="10" t="n">
        <v>1</v>
      </c>
      <c r="C32" s="7" t="s">
        <v>71</v>
      </c>
    </row>
    <row r="34" customFormat="false" ht="15" hidden="false" customHeight="true" outlineLevel="0" collapsed="false">
      <c r="A34" s="3" t="s">
        <v>72</v>
      </c>
      <c r="B34" s="6" t="n">
        <v>0</v>
      </c>
      <c r="C34" s="7" t="s">
        <v>73</v>
      </c>
    </row>
    <row r="35" customFormat="false" ht="15" hidden="false" customHeight="true" outlineLevel="0" collapsed="false">
      <c r="A35" s="3" t="s">
        <v>74</v>
      </c>
      <c r="B35" s="6" t="n">
        <v>0</v>
      </c>
      <c r="C35" s="7" t="s">
        <v>75</v>
      </c>
    </row>
    <row r="36" customFormat="false" ht="15" hidden="false" customHeight="true" outlineLevel="0" collapsed="false">
      <c r="A36" s="3" t="s">
        <v>76</v>
      </c>
      <c r="B36" s="6" t="n">
        <v>0</v>
      </c>
      <c r="C36" s="7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"/>
    <col collapsed="false" customWidth="true" hidden="false" outlineLevel="0" max="5" min="3" style="1" width="17"/>
    <col collapsed="false" customWidth="true" hidden="false" outlineLevel="0" max="6" min="6" style="1" width="86"/>
  </cols>
  <sheetData>
    <row r="1" customFormat="false" ht="15" hidden="false" customHeight="true" outlineLevel="0" collapsed="false">
      <c r="A1" s="2" t="s">
        <v>0</v>
      </c>
    </row>
    <row r="3" customFormat="false" ht="15.75" hidden="false" customHeight="true" outlineLevel="0" collapsed="false">
      <c r="A3" s="4" t="s">
        <v>78</v>
      </c>
    </row>
    <row r="5" customFormat="false" ht="15" hidden="false" customHeight="true" outlineLevel="0" collapsed="false">
      <c r="C5" s="13" t="s">
        <v>79</v>
      </c>
      <c r="D5" s="13" t="s">
        <v>80</v>
      </c>
      <c r="E5" s="13" t="s">
        <v>81</v>
      </c>
      <c r="F5" s="13" t="s">
        <v>82</v>
      </c>
    </row>
    <row r="6" customFormat="false" ht="15" hidden="false" customHeight="true" outlineLevel="0" collapsed="false">
      <c r="C6" s="7" t="s">
        <v>83</v>
      </c>
      <c r="D6" s="7" t="s">
        <v>84</v>
      </c>
      <c r="E6" s="7" t="s">
        <v>85</v>
      </c>
    </row>
    <row r="8" customFormat="false" ht="15" hidden="false" customHeight="true" outlineLevel="0" collapsed="false">
      <c r="A8" s="3" t="s">
        <v>86</v>
      </c>
      <c r="C8" s="7" t="s">
        <v>87</v>
      </c>
      <c r="D8" s="14" t="n">
        <v>5198366</v>
      </c>
      <c r="E8" s="15" t="n">
        <f aca="false">Inputs!B6*(1-Inputs!B7)</f>
        <v>4580209</v>
      </c>
      <c r="F8" s="7" t="s">
        <v>88</v>
      </c>
    </row>
    <row r="9" customFormat="false" ht="15" hidden="false" customHeight="true" outlineLevel="0" collapsed="false">
      <c r="A9" s="3" t="s">
        <v>89</v>
      </c>
      <c r="C9" s="7" t="s">
        <v>90</v>
      </c>
      <c r="D9" s="16" t="n">
        <v>1162875</v>
      </c>
      <c r="E9" s="15" t="n">
        <f aca="false">Inputs!B9</f>
        <v>1162612.5</v>
      </c>
      <c r="F9" s="7" t="s">
        <v>91</v>
      </c>
    </row>
    <row r="11" customFormat="false" ht="15" hidden="false" customHeight="true" outlineLevel="0" collapsed="false">
      <c r="A11" s="3" t="s">
        <v>92</v>
      </c>
      <c r="C11" s="6" t="n">
        <v>3653412.5</v>
      </c>
      <c r="D11" s="15" t="n">
        <f aca="false">D8*0.9</f>
        <v>4678529.4</v>
      </c>
      <c r="E11" s="15" t="n">
        <f aca="false">E8*Inputs!B8</f>
        <v>4122188.1</v>
      </c>
      <c r="F11" s="7" t="s">
        <v>93</v>
      </c>
    </row>
    <row r="12" customFormat="false" ht="15" hidden="false" customHeight="true" outlineLevel="0" collapsed="false">
      <c r="A12" s="3" t="s">
        <v>94</v>
      </c>
      <c r="C12" s="6" t="n">
        <v>1046587.5</v>
      </c>
      <c r="D12" s="15" t="n">
        <f aca="false">D9*0.9</f>
        <v>1046587.5</v>
      </c>
      <c r="E12" s="15" t="n">
        <f aca="false">E9*Inputs!B8</f>
        <v>1046351.25</v>
      </c>
    </row>
    <row r="13" customFormat="false" ht="15" hidden="false" customHeight="true" outlineLevel="0" collapsed="false">
      <c r="A13" s="13" t="s">
        <v>95</v>
      </c>
      <c r="C13" s="17" t="n">
        <f aca="false">SUM(C11:C12)</f>
        <v>4700000</v>
      </c>
      <c r="D13" s="17" t="n">
        <f aca="false">SUM(D11:D12)</f>
        <v>5725116.9</v>
      </c>
      <c r="E13" s="17" t="n">
        <f aca="false">SUM(E11:E12)</f>
        <v>5168539.35</v>
      </c>
      <c r="F13" s="7" t="s">
        <v>96</v>
      </c>
    </row>
    <row r="15" customFormat="false" ht="15" hidden="false" customHeight="true" outlineLevel="0" collapsed="false">
      <c r="A15" s="3" t="s">
        <v>97</v>
      </c>
      <c r="C15" s="6" t="n">
        <v>0</v>
      </c>
      <c r="D15" s="7" t="s">
        <v>98</v>
      </c>
      <c r="E15" s="15" t="n">
        <f aca="false">Inputs!B25*(Inputs!B22+Inputs!B23-Inputs!B24)</f>
        <v>850894.54</v>
      </c>
      <c r="F15" s="7" t="s">
        <v>99</v>
      </c>
    </row>
    <row r="16" customFormat="false" ht="15" hidden="false" customHeight="true" outlineLevel="0" collapsed="false">
      <c r="A16" s="3" t="s">
        <v>100</v>
      </c>
      <c r="C16" s="6" t="n">
        <v>677830.41</v>
      </c>
      <c r="D16" s="15" t="n">
        <v>0</v>
      </c>
      <c r="E16" s="15" t="n">
        <f aca="false">IF(Inputs!B11=1,(E11+E12)*Inputs!B12*YEARFRAC(Inputs!B13,Inputs!B14,1),0)</f>
        <v>838401.61854874</v>
      </c>
      <c r="F16" s="7" t="s">
        <v>101</v>
      </c>
    </row>
    <row r="17" customFormat="false" ht="15" hidden="false" customHeight="true" outlineLevel="0" collapsed="false">
      <c r="A17" s="3" t="s">
        <v>102</v>
      </c>
      <c r="C17" s="15" t="n">
        <v>0</v>
      </c>
      <c r="D17" s="7" t="s">
        <v>98</v>
      </c>
      <c r="E17" s="15" t="n">
        <f aca="false">IF(Inputs!B11=2,IF(Inputs!B20=1,Inputs!B16+Inputs!B17+Inputs!B18+Inputs!B19,MAX(0,Inputs!B16)+MAX(0,Inputs!B17)+MAX(0,Inputs!B18)+MAX(0,Inputs!B19)),0)</f>
        <v>0</v>
      </c>
      <c r="F17" s="7" t="s">
        <v>103</v>
      </c>
    </row>
    <row r="18" customFormat="false" ht="15" hidden="false" customHeight="true" outlineLevel="0" collapsed="false">
      <c r="A18" s="3" t="s">
        <v>104</v>
      </c>
      <c r="C18" s="15" t="n">
        <v>0</v>
      </c>
      <c r="D18" s="14" t="n">
        <v>1617761</v>
      </c>
      <c r="E18" s="15" t="n">
        <v>0</v>
      </c>
      <c r="F18" s="7" t="s">
        <v>105</v>
      </c>
    </row>
    <row r="19" customFormat="false" ht="15" hidden="false" customHeight="true" outlineLevel="0" collapsed="false">
      <c r="A19" s="3" t="s">
        <v>106</v>
      </c>
      <c r="C19" s="6" t="n">
        <v>327427.02</v>
      </c>
      <c r="D19" s="7" t="s">
        <v>107</v>
      </c>
      <c r="E19" s="15" t="n">
        <f aca="false">Inputs!B28*Inputs!B27</f>
        <v>0</v>
      </c>
      <c r="F19" s="7" t="s">
        <v>108</v>
      </c>
    </row>
    <row r="20" customFormat="false" ht="15" hidden="false" customHeight="true" outlineLevel="0" collapsed="false">
      <c r="A20" s="3" t="s">
        <v>109</v>
      </c>
      <c r="C20" s="15" t="n">
        <v>0</v>
      </c>
      <c r="D20" s="14" t="n">
        <v>16888</v>
      </c>
      <c r="E20" s="15" t="n">
        <f aca="false">Inputs!B35</f>
        <v>0</v>
      </c>
      <c r="F20" s="7" t="s">
        <v>110</v>
      </c>
    </row>
    <row r="21" customFormat="false" ht="15" hidden="false" customHeight="true" outlineLevel="0" collapsed="false">
      <c r="A21" s="3" t="s">
        <v>111</v>
      </c>
      <c r="C21" s="6" t="n">
        <v>0</v>
      </c>
      <c r="D21" s="15" t="n">
        <v>0</v>
      </c>
      <c r="E21" s="15" t="n">
        <f aca="false">-Inputs!B32*(Inputs!B30+Inputs!B31)</f>
        <v>-456945</v>
      </c>
      <c r="F21" s="7" t="s">
        <v>112</v>
      </c>
    </row>
    <row r="22" customFormat="false" ht="15" hidden="false" customHeight="true" outlineLevel="0" collapsed="false">
      <c r="A22" s="3" t="s">
        <v>113</v>
      </c>
      <c r="C22" s="15" t="n">
        <v>0</v>
      </c>
      <c r="D22" s="15" t="n">
        <v>0</v>
      </c>
      <c r="E22" s="15" t="n">
        <f aca="false">Inputs!B34+Inputs!B36</f>
        <v>0</v>
      </c>
      <c r="F22" s="7" t="s">
        <v>114</v>
      </c>
    </row>
    <row r="24" customFormat="false" ht="15" hidden="false" customHeight="true" outlineLevel="0" collapsed="false">
      <c r="A24" s="13" t="s">
        <v>115</v>
      </c>
      <c r="C24" s="18" t="n">
        <f aca="false">SUM(C13,C15:C22)</f>
        <v>5705257.43</v>
      </c>
      <c r="D24" s="18" t="n">
        <f aca="false">SUM(D13,D15:D22)</f>
        <v>7359765.9</v>
      </c>
      <c r="E24" s="18" t="n">
        <f aca="false">SUM(E13,E15:E22)</f>
        <v>6400890.50854874</v>
      </c>
    </row>
    <row r="25" customFormat="false" ht="15" hidden="false" customHeight="true" outlineLevel="0" collapsed="false">
      <c r="A25" s="3" t="s">
        <v>116</v>
      </c>
      <c r="C25" s="6" t="n">
        <v>5705257.43</v>
      </c>
      <c r="D25" s="14" t="n">
        <v>7359766</v>
      </c>
    </row>
    <row r="26" customFormat="false" ht="15" hidden="false" customHeight="true" outlineLevel="0" collapsed="false">
      <c r="A26" s="3" t="s">
        <v>117</v>
      </c>
      <c r="C26" s="15" t="n">
        <f aca="false">C24-C25</f>
        <v>0</v>
      </c>
      <c r="D26" s="15" t="n">
        <f aca="false">D24-D25</f>
        <v>-0.099999999627471</v>
      </c>
      <c r="F26" s="7" t="s">
        <v>118</v>
      </c>
    </row>
    <row r="28" customFormat="false" ht="15" hidden="false" customHeight="true" outlineLevel="0" collapsed="false">
      <c r="A28" s="13" t="s">
        <v>119</v>
      </c>
      <c r="D28" s="19" t="n">
        <f aca="false">D24-C24</f>
        <v>1654508.47</v>
      </c>
    </row>
    <row r="29" customFormat="false" ht="15" hidden="false" customHeight="true" outlineLevel="0" collapsed="false">
      <c r="A29" s="3" t="s">
        <v>120</v>
      </c>
      <c r="C29" s="15" t="n">
        <f aca="false">E24-C24</f>
        <v>695633.078548741</v>
      </c>
      <c r="D29" s="15" t="n">
        <f aca="false">E24-D24</f>
        <v>-958875.39145126</v>
      </c>
    </row>
    <row r="32" customFormat="false" ht="15" hidden="false" customHeight="true" outlineLevel="0" collapsed="false">
      <c r="A32" s="5" t="s">
        <v>121</v>
      </c>
    </row>
    <row r="34" customFormat="false" ht="15" hidden="false" customHeight="true" outlineLevel="0" collapsed="false">
      <c r="A34" s="3" t="s">
        <v>122</v>
      </c>
      <c r="C34" s="6" t="n">
        <v>4190394.5625</v>
      </c>
      <c r="F34" s="7" t="s">
        <v>123</v>
      </c>
    </row>
    <row r="35" customFormat="false" ht="15" hidden="false" customHeight="true" outlineLevel="0" collapsed="false">
      <c r="A35" s="3" t="s">
        <v>124</v>
      </c>
      <c r="C35" s="15" t="n">
        <f aca="false">4700000-(3600988.3125+1046351.25)</f>
        <v>52660.4375</v>
      </c>
      <c r="F35" s="7" t="s">
        <v>125</v>
      </c>
    </row>
    <row r="36" customFormat="false" ht="15" hidden="false" customHeight="true" outlineLevel="0" collapsed="false">
      <c r="A36" s="3" t="s">
        <v>126</v>
      </c>
      <c r="C36" s="15" t="n">
        <f aca="false">262592+194353</f>
        <v>456945</v>
      </c>
      <c r="F36" s="7" t="s">
        <v>127</v>
      </c>
    </row>
    <row r="37" customFormat="false" ht="15" hidden="false" customHeight="true" outlineLevel="0" collapsed="false">
      <c r="A37" s="3" t="s">
        <v>128</v>
      </c>
      <c r="C37" s="6" t="n">
        <v>327427.02</v>
      </c>
      <c r="F37" s="7"/>
    </row>
    <row r="38" customFormat="false" ht="15" hidden="false" customHeight="true" outlineLevel="0" collapsed="false">
      <c r="A38" s="3" t="s">
        <v>129</v>
      </c>
      <c r="C38" s="6" t="n">
        <v>677830.41</v>
      </c>
      <c r="F38" s="7"/>
    </row>
    <row r="39" customFormat="false" ht="15" hidden="false" customHeight="true" outlineLevel="0" collapsed="false">
      <c r="A39" s="13" t="s">
        <v>130</v>
      </c>
      <c r="C39" s="20" t="n">
        <f aca="false">SUM(C34:C38)</f>
        <v>5705257.43</v>
      </c>
      <c r="F39" s="7" t="s">
        <v>131</v>
      </c>
    </row>
    <row r="41" customFormat="false" ht="15" hidden="false" customHeight="true" outlineLevel="0" collapsed="false">
      <c r="A41" s="3" t="s">
        <v>132</v>
      </c>
      <c r="C41" s="6" t="n">
        <v>7359529.875</v>
      </c>
      <c r="F41" s="7" t="s">
        <v>133</v>
      </c>
    </row>
    <row r="42" customFormat="false" ht="15" hidden="false" customHeight="true" outlineLevel="0" collapsed="false">
      <c r="A42" s="3" t="s">
        <v>134</v>
      </c>
      <c r="C42" s="15" t="n">
        <f aca="false">7359766-C41</f>
        <v>236.125</v>
      </c>
      <c r="F42" s="7" t="s">
        <v>135</v>
      </c>
    </row>
    <row r="43" customFormat="false" ht="15" hidden="false" customHeight="true" outlineLevel="0" collapsed="false">
      <c r="A43" s="13" t="s">
        <v>136</v>
      </c>
      <c r="C43" s="20" t="n">
        <f aca="false">C41+C42</f>
        <v>7359766</v>
      </c>
      <c r="F43" s="7"/>
    </row>
    <row r="46" customFormat="false" ht="15" hidden="false" customHeight="true" outlineLevel="0" collapsed="false">
      <c r="A46" s="5" t="s">
        <v>137</v>
      </c>
    </row>
    <row r="48" customFormat="false" ht="15" hidden="false" customHeight="true" outlineLevel="0" collapsed="false">
      <c r="A48" s="3" t="s">
        <v>138</v>
      </c>
      <c r="C48" s="14" t="n">
        <v>1077541.3125</v>
      </c>
      <c r="F48" s="7" t="s">
        <v>139</v>
      </c>
    </row>
    <row r="49" customFormat="false" ht="15" hidden="false" customHeight="true" outlineLevel="0" collapsed="false">
      <c r="A49" s="3" t="s">
        <v>140</v>
      </c>
      <c r="C49" s="14" t="n">
        <v>0</v>
      </c>
      <c r="F49" s="7" t="s">
        <v>141</v>
      </c>
    </row>
    <row r="50" customFormat="false" ht="15" hidden="false" customHeight="true" outlineLevel="0" collapsed="false">
      <c r="A50" s="3" t="s">
        <v>142</v>
      </c>
      <c r="C50" s="14" t="n">
        <v>1498480</v>
      </c>
      <c r="F50" s="7" t="s">
        <v>143</v>
      </c>
    </row>
    <row r="51" customFormat="false" ht="15" hidden="false" customHeight="true" outlineLevel="0" collapsed="false">
      <c r="A51" s="3" t="s">
        <v>144</v>
      </c>
      <c r="C51" s="14" t="n">
        <v>262592</v>
      </c>
      <c r="F51" s="7" t="s">
        <v>145</v>
      </c>
    </row>
    <row r="52" customFormat="false" ht="15" hidden="false" customHeight="true" outlineLevel="0" collapsed="false">
      <c r="A52" s="3" t="s">
        <v>146</v>
      </c>
      <c r="C52" s="14" t="n">
        <v>194353</v>
      </c>
      <c r="F52" s="7" t="s">
        <v>147</v>
      </c>
    </row>
    <row r="53" customFormat="false" ht="15" hidden="false" customHeight="true" outlineLevel="0" collapsed="false">
      <c r="A53" s="3" t="s">
        <v>148</v>
      </c>
      <c r="C53" s="14" t="n">
        <v>119281</v>
      </c>
      <c r="F53" s="7" t="s">
        <v>149</v>
      </c>
    </row>
    <row r="54" customFormat="false" ht="15" hidden="false" customHeight="true" outlineLevel="0" collapsed="false">
      <c r="A54" s="3" t="s">
        <v>109</v>
      </c>
      <c r="C54" s="14" t="n">
        <v>16888</v>
      </c>
      <c r="F54" s="7" t="s">
        <v>150</v>
      </c>
    </row>
    <row r="55" customFormat="false" ht="15" hidden="false" customHeight="true" outlineLevel="0" collapsed="false">
      <c r="A55" s="13" t="s">
        <v>151</v>
      </c>
      <c r="C55" s="17" t="n">
        <f aca="false">SUM(C48:C54)</f>
        <v>3169135.3125</v>
      </c>
      <c r="F55" s="7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5"/>
    <col collapsed="false" customWidth="true" hidden="false" outlineLevel="0" max="5" min="5" style="1" width="80"/>
  </cols>
  <sheetData>
    <row r="1" customFormat="false" ht="15" hidden="false" customHeight="true" outlineLevel="0" collapsed="false">
      <c r="A1" s="2" t="s">
        <v>0</v>
      </c>
    </row>
    <row r="3" customFormat="false" ht="15.75" hidden="false" customHeight="true" outlineLevel="0" collapsed="false">
      <c r="A3" s="4" t="s">
        <v>153</v>
      </c>
    </row>
    <row r="5" customFormat="false" ht="15" hidden="false" customHeight="true" outlineLevel="0" collapsed="false">
      <c r="A5" s="5" t="s">
        <v>154</v>
      </c>
    </row>
    <row r="6" customFormat="false" ht="15" hidden="false" customHeight="true" outlineLevel="0" collapsed="false">
      <c r="A6" s="3" t="s">
        <v>155</v>
      </c>
      <c r="B6" s="14" t="n">
        <v>14220000</v>
      </c>
      <c r="E6" s="7" t="s">
        <v>156</v>
      </c>
    </row>
    <row r="7" customFormat="false" ht="15" hidden="false" customHeight="true" outlineLevel="0" collapsed="false">
      <c r="A7" s="3" t="s">
        <v>157</v>
      </c>
      <c r="B7" s="14" t="n">
        <v>18100000</v>
      </c>
      <c r="E7" s="7"/>
    </row>
    <row r="8" customFormat="false" ht="15" hidden="false" customHeight="true" outlineLevel="0" collapsed="false">
      <c r="A8" s="3" t="s">
        <v>158</v>
      </c>
      <c r="B8" s="15" t="n">
        <f aca="false">AVERAGE(B6:B7)</f>
        <v>16160000</v>
      </c>
      <c r="E8" s="7" t="s">
        <v>159</v>
      </c>
    </row>
    <row r="9" customFormat="false" ht="15" hidden="false" customHeight="true" outlineLevel="0" collapsed="false">
      <c r="A9" s="3" t="s">
        <v>160</v>
      </c>
      <c r="B9" s="14" t="n">
        <v>-193400</v>
      </c>
      <c r="E9" s="7"/>
    </row>
    <row r="10" customFormat="false" ht="15" hidden="false" customHeight="true" outlineLevel="0" collapsed="false">
      <c r="A10" s="3" t="s">
        <v>161</v>
      </c>
      <c r="B10" s="14" t="n">
        <v>35760</v>
      </c>
      <c r="E10" s="7" t="s">
        <v>162</v>
      </c>
    </row>
    <row r="11" customFormat="false" ht="15" hidden="false" customHeight="true" outlineLevel="0" collapsed="false">
      <c r="A11" s="3" t="s">
        <v>163</v>
      </c>
      <c r="B11" s="15" t="n">
        <f aca="false">SUM(B8:B10)</f>
        <v>16002360</v>
      </c>
      <c r="E11" s="7" t="s">
        <v>164</v>
      </c>
    </row>
    <row r="12" customFormat="false" ht="15" hidden="false" customHeight="true" outlineLevel="0" collapsed="false">
      <c r="A12" s="3" t="s">
        <v>165</v>
      </c>
      <c r="B12" s="15" t="n">
        <f aca="false">918720*0.5</f>
        <v>459360</v>
      </c>
      <c r="E12" s="7"/>
    </row>
    <row r="13" customFormat="false" ht="15" hidden="false" customHeight="true" outlineLevel="0" collapsed="false">
      <c r="A13" s="3" t="s">
        <v>166</v>
      </c>
      <c r="B13" s="15" t="n">
        <f aca="false">(B11-918720)*0.375</f>
        <v>5656365</v>
      </c>
      <c r="E13" s="7"/>
    </row>
    <row r="14" customFormat="false" ht="15" hidden="false" customHeight="true" outlineLevel="0" collapsed="false">
      <c r="A14" s="3" t="s">
        <v>167</v>
      </c>
      <c r="B14" s="15" t="n">
        <f aca="false">B12+B13</f>
        <v>6115725</v>
      </c>
      <c r="E14" s="7" t="s">
        <v>168</v>
      </c>
    </row>
    <row r="15" customFormat="false" ht="15" hidden="false" customHeight="true" outlineLevel="0" collapsed="false">
      <c r="A15" s="3" t="s">
        <v>169</v>
      </c>
      <c r="B15" s="15" t="n">
        <f aca="false">-B14*0.15</f>
        <v>-917358.75</v>
      </c>
      <c r="E15" s="7"/>
    </row>
    <row r="16" customFormat="false" ht="15" hidden="false" customHeight="true" outlineLevel="0" collapsed="false">
      <c r="A16" s="3" t="s">
        <v>170</v>
      </c>
      <c r="B16" s="15" t="n">
        <f aca="false">B14+B15</f>
        <v>5198366.25</v>
      </c>
      <c r="E16" s="7" t="s">
        <v>171</v>
      </c>
    </row>
    <row r="17" customFormat="false" ht="15" hidden="false" customHeight="true" outlineLevel="0" collapsed="false">
      <c r="A17" s="3" t="s">
        <v>172</v>
      </c>
      <c r="B17" s="15" t="n">
        <f aca="false">B16*0.9</f>
        <v>4678529.625</v>
      </c>
      <c r="E17" s="7" t="s">
        <v>173</v>
      </c>
    </row>
    <row r="20" customFormat="false" ht="15" hidden="false" customHeight="true" outlineLevel="0" collapsed="false">
      <c r="A20" s="5" t="s">
        <v>174</v>
      </c>
    </row>
    <row r="21" customFormat="false" ht="15" hidden="false" customHeight="true" outlineLevel="0" collapsed="false">
      <c r="A21" s="3" t="s">
        <v>175</v>
      </c>
      <c r="B21" s="14" t="n">
        <v>2410000</v>
      </c>
      <c r="E21" s="7"/>
    </row>
    <row r="22" customFormat="false" ht="15" hidden="false" customHeight="true" outlineLevel="0" collapsed="false">
      <c r="A22" s="3" t="s">
        <v>176</v>
      </c>
      <c r="B22" s="14" t="n">
        <v>5804000</v>
      </c>
      <c r="E22" s="7"/>
    </row>
    <row r="23" customFormat="false" ht="15" hidden="false" customHeight="true" outlineLevel="0" collapsed="false">
      <c r="A23" s="3" t="s">
        <v>177</v>
      </c>
      <c r="B23" s="14" t="n">
        <v>20860</v>
      </c>
      <c r="E23" s="7"/>
    </row>
    <row r="24" customFormat="false" ht="15" hidden="false" customHeight="true" outlineLevel="0" collapsed="false">
      <c r="A24" s="3" t="s">
        <v>178</v>
      </c>
      <c r="B24" s="14" t="n">
        <v>-193400</v>
      </c>
      <c r="E24" s="7"/>
    </row>
    <row r="25" customFormat="false" ht="15" hidden="false" customHeight="true" outlineLevel="0" collapsed="false">
      <c r="A25" s="3" t="s">
        <v>179</v>
      </c>
      <c r="B25" s="15" t="n">
        <f aca="false">SUM(B21:B24)</f>
        <v>8041460</v>
      </c>
      <c r="E25" s="7" t="s">
        <v>180</v>
      </c>
    </row>
    <row r="26" customFormat="false" ht="15" hidden="false" customHeight="true" outlineLevel="0" collapsed="false">
      <c r="A26" s="3" t="s">
        <v>181</v>
      </c>
      <c r="B26" s="14" t="n">
        <v>536000</v>
      </c>
      <c r="E26" s="7"/>
    </row>
    <row r="27" customFormat="false" ht="15" hidden="false" customHeight="true" outlineLevel="0" collapsed="false">
      <c r="A27" s="3" t="s">
        <v>182</v>
      </c>
      <c r="B27" s="14" t="n">
        <v>960000</v>
      </c>
      <c r="E27" s="7"/>
    </row>
    <row r="28" customFormat="false" ht="15" hidden="false" customHeight="true" outlineLevel="0" collapsed="false">
      <c r="A28" s="3" t="s">
        <v>183</v>
      </c>
      <c r="B28" s="14" t="n">
        <v>2790000</v>
      </c>
      <c r="E28" s="7"/>
    </row>
    <row r="29" customFormat="false" ht="15" hidden="false" customHeight="true" outlineLevel="0" collapsed="false">
      <c r="A29" s="3" t="s">
        <v>184</v>
      </c>
      <c r="B29" s="14" t="n">
        <v>1720000</v>
      </c>
      <c r="E29" s="7"/>
    </row>
    <row r="30" customFormat="false" ht="15" hidden="false" customHeight="true" outlineLevel="0" collapsed="false">
      <c r="A30" s="3" t="s">
        <v>185</v>
      </c>
      <c r="B30" s="15" t="n">
        <f aca="false">SUM(B25:B29)</f>
        <v>14047460</v>
      </c>
      <c r="E30" s="7" t="s">
        <v>186</v>
      </c>
    </row>
    <row r="31" customFormat="false" ht="15" hidden="false" customHeight="true" outlineLevel="0" collapsed="false">
      <c r="A31" s="3" t="s">
        <v>187</v>
      </c>
      <c r="B31" s="15" t="n">
        <f aca="false">(B30-B26)*0.375+B26*0.5</f>
        <v>5334797.5</v>
      </c>
      <c r="E31" s="7" t="s">
        <v>188</v>
      </c>
    </row>
    <row r="32" customFormat="false" ht="15" hidden="false" customHeight="true" outlineLevel="0" collapsed="false">
      <c r="A32" s="3" t="s">
        <v>189</v>
      </c>
      <c r="B32" s="15" t="n">
        <f aca="false">B31*0.7</f>
        <v>3734358.25</v>
      </c>
      <c r="E32" s="7" t="s">
        <v>190</v>
      </c>
    </row>
    <row r="33" customFormat="false" ht="15" hidden="false" customHeight="true" outlineLevel="0" collapsed="false">
      <c r="A33" s="3" t="s">
        <v>191</v>
      </c>
      <c r="B33" s="15" t="n">
        <f aca="false">B32*0.9</f>
        <v>3360922.425</v>
      </c>
      <c r="E33" s="7" t="s">
        <v>192</v>
      </c>
    </row>
    <row r="34" customFormat="false" ht="15" hidden="false" customHeight="true" outlineLevel="0" collapsed="false">
      <c r="A34" s="3" t="s">
        <v>193</v>
      </c>
      <c r="B34" s="15" t="n">
        <f aca="false">B31*0.75*0.9</f>
        <v>3600988.3125</v>
      </c>
      <c r="E34" s="7" t="s">
        <v>194</v>
      </c>
    </row>
    <row r="37" customFormat="false" ht="15" hidden="false" customHeight="true" outlineLevel="0" collapsed="false">
      <c r="A37" s="5" t="s">
        <v>195</v>
      </c>
    </row>
    <row r="38" customFormat="false" ht="15" hidden="false" customHeight="true" outlineLevel="0" collapsed="false">
      <c r="A38" s="3" t="s">
        <v>196</v>
      </c>
      <c r="B38" s="15" t="n">
        <f aca="false">B34</f>
        <v>3600988.3125</v>
      </c>
      <c r="E38" s="7" t="s">
        <v>197</v>
      </c>
    </row>
    <row r="39" customFormat="false" ht="15" hidden="false" customHeight="true" outlineLevel="0" collapsed="false">
      <c r="A39" s="3" t="s">
        <v>198</v>
      </c>
      <c r="B39" s="6" t="n">
        <v>1046351.25</v>
      </c>
      <c r="E39" s="7" t="s">
        <v>199</v>
      </c>
    </row>
    <row r="40" customFormat="false" ht="15" hidden="false" customHeight="true" outlineLevel="0" collapsed="false">
      <c r="A40" s="3" t="s">
        <v>200</v>
      </c>
      <c r="B40" s="15" t="n">
        <f aca="false">B38+B39</f>
        <v>4647339.5625</v>
      </c>
      <c r="E40" s="7" t="s">
        <v>201</v>
      </c>
    </row>
    <row r="41" customFormat="false" ht="15" hidden="false" customHeight="true" outlineLevel="0" collapsed="false">
      <c r="A41" s="3" t="s">
        <v>202</v>
      </c>
      <c r="B41" s="6" t="n">
        <v>4700000</v>
      </c>
      <c r="E41" s="7"/>
    </row>
    <row r="42" customFormat="false" ht="15" hidden="false" customHeight="true" outlineLevel="0" collapsed="false">
      <c r="A42" s="3" t="s">
        <v>203</v>
      </c>
      <c r="B42" s="15" t="n">
        <f aca="false">B41-B40</f>
        <v>52660.4375</v>
      </c>
      <c r="E42" s="7" t="s">
        <v>204</v>
      </c>
    </row>
    <row r="43" customFormat="false" ht="15" hidden="false" customHeight="true" outlineLevel="0" collapsed="false">
      <c r="A43" s="3" t="s">
        <v>205</v>
      </c>
      <c r="B43" s="15" t="n">
        <f aca="false">3653412.5-B38</f>
        <v>52424.1875</v>
      </c>
      <c r="E43" s="7" t="s">
        <v>206</v>
      </c>
    </row>
    <row r="44" customFormat="false" ht="15" hidden="false" customHeight="true" outlineLevel="0" collapsed="false">
      <c r="A44" s="3" t="s">
        <v>207</v>
      </c>
      <c r="B44" s="15" t="n">
        <f aca="false">1046587.5-B39</f>
        <v>236.25</v>
      </c>
      <c r="E44" s="7" t="s">
        <v>208</v>
      </c>
    </row>
    <row r="45" customFormat="false" ht="15" hidden="false" customHeight="true" outlineLevel="0" collapsed="false">
      <c r="A45" s="3" t="s">
        <v>209</v>
      </c>
      <c r="B45" s="15" t="n">
        <f aca="false">B43+B44-B42</f>
        <v>0</v>
      </c>
      <c r="E45" s="7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6"/>
    <col collapsed="false" customWidth="true" hidden="false" outlineLevel="0" max="5" min="5" style="1" width="75"/>
  </cols>
  <sheetData>
    <row r="1" customFormat="false" ht="15" hidden="false" customHeight="true" outlineLevel="0" collapsed="false">
      <c r="A1" s="2" t="s">
        <v>0</v>
      </c>
    </row>
    <row r="3" customFormat="false" ht="15.75" hidden="false" customHeight="true" outlineLevel="0" collapsed="false">
      <c r="A3" s="4" t="s">
        <v>211</v>
      </c>
    </row>
    <row r="5" customFormat="false" ht="15" hidden="false" customHeight="true" outlineLevel="0" collapsed="false">
      <c r="B5" s="13" t="s">
        <v>212</v>
      </c>
      <c r="C5" s="13" t="s">
        <v>213</v>
      </c>
      <c r="D5" s="13" t="s">
        <v>214</v>
      </c>
    </row>
    <row r="6" customFormat="false" ht="15" hidden="false" customHeight="true" outlineLevel="0" collapsed="false">
      <c r="A6" s="3" t="s">
        <v>215</v>
      </c>
      <c r="B6" s="14" t="n">
        <v>12582000</v>
      </c>
      <c r="C6" s="14" t="n">
        <v>-7432000</v>
      </c>
      <c r="D6" s="15" t="n">
        <f aca="false">B6+C6</f>
        <v>5150000</v>
      </c>
      <c r="E6" s="7" t="s">
        <v>216</v>
      </c>
    </row>
    <row r="7" customFormat="false" ht="15" hidden="false" customHeight="true" outlineLevel="0" collapsed="false">
      <c r="A7" s="3" t="s">
        <v>217</v>
      </c>
      <c r="B7" s="21" t="n">
        <f aca="false">-B6*0.14</f>
        <v>-1761480</v>
      </c>
      <c r="C7" s="21" t="n">
        <f aca="false">-C6*0.14</f>
        <v>1040480</v>
      </c>
      <c r="D7" s="15" t="n">
        <f aca="false">-D6*0.14</f>
        <v>-721000</v>
      </c>
      <c r="E7" s="7"/>
    </row>
    <row r="8" customFormat="false" ht="15" hidden="false" customHeight="true" outlineLevel="0" collapsed="false">
      <c r="A8" s="3" t="s">
        <v>218</v>
      </c>
      <c r="B8" s="21" t="n">
        <f aca="false">B6+B7</f>
        <v>10820520</v>
      </c>
      <c r="C8" s="21" t="n">
        <f aca="false">C6+C7</f>
        <v>-6391520</v>
      </c>
      <c r="D8" s="15" t="n">
        <f aca="false">D6+D7</f>
        <v>4429000</v>
      </c>
      <c r="E8" s="7"/>
    </row>
    <row r="9" customFormat="false" ht="15" hidden="false" customHeight="true" outlineLevel="0" collapsed="false">
      <c r="A9" s="3" t="s">
        <v>219</v>
      </c>
      <c r="B9" s="14" t="n">
        <v>3885000</v>
      </c>
      <c r="D9" s="15" t="n">
        <f aca="false">B9</f>
        <v>3885000</v>
      </c>
      <c r="E9" s="7"/>
    </row>
    <row r="10" customFormat="false" ht="15" hidden="false" customHeight="true" outlineLevel="0" collapsed="false">
      <c r="A10" s="3" t="s">
        <v>220</v>
      </c>
      <c r="B10" s="21" t="n">
        <f aca="false">B8+B9</f>
        <v>14705520</v>
      </c>
      <c r="D10" s="15" t="n">
        <f aca="false">D8+D9</f>
        <v>8314000</v>
      </c>
      <c r="E10" s="7"/>
    </row>
    <row r="11" customFormat="false" ht="15" hidden="false" customHeight="true" outlineLevel="0" collapsed="false">
      <c r="A11" s="3" t="s">
        <v>221</v>
      </c>
      <c r="B11" s="21" t="n">
        <f aca="false">-B9</f>
        <v>-3885000</v>
      </c>
      <c r="D11" s="15" t="n">
        <f aca="false">-D9</f>
        <v>-3885000</v>
      </c>
      <c r="E11" s="7"/>
    </row>
    <row r="12" customFormat="false" ht="15" hidden="false" customHeight="true" outlineLevel="0" collapsed="false">
      <c r="A12" s="3" t="s">
        <v>222</v>
      </c>
      <c r="B12" s="21" t="n">
        <f aca="false">B10+B11</f>
        <v>10820520</v>
      </c>
      <c r="D12" s="15" t="n">
        <f aca="false">D10+D11</f>
        <v>4429000</v>
      </c>
      <c r="E12" s="7"/>
    </row>
    <row r="13" customFormat="false" ht="15" hidden="false" customHeight="true" outlineLevel="0" collapsed="false">
      <c r="A13" s="3" t="s">
        <v>223</v>
      </c>
      <c r="B13" s="21" t="n">
        <f aca="false">-B12*0.3</f>
        <v>-3246156</v>
      </c>
      <c r="D13" s="15" t="n">
        <f aca="false">-D12*0.3</f>
        <v>-1328700</v>
      </c>
      <c r="E13" s="7"/>
    </row>
    <row r="14" customFormat="false" ht="15" hidden="false" customHeight="true" outlineLevel="0" collapsed="false">
      <c r="A14" s="3" t="s">
        <v>224</v>
      </c>
      <c r="B14" s="21" t="n">
        <f aca="false">B12+B13</f>
        <v>7574364</v>
      </c>
      <c r="D14" s="15" t="n">
        <f aca="false">D12+D13</f>
        <v>3100300</v>
      </c>
      <c r="E14" s="7" t="s">
        <v>225</v>
      </c>
    </row>
    <row r="15" customFormat="false" ht="15" hidden="false" customHeight="true" outlineLevel="0" collapsed="false">
      <c r="A15" s="3" t="s">
        <v>226</v>
      </c>
      <c r="B15" s="21" t="n">
        <f aca="false">B14*0.375</f>
        <v>2840386.5</v>
      </c>
      <c r="D15" s="22" t="n">
        <f aca="false">D14*0.375</f>
        <v>1162612.5</v>
      </c>
      <c r="E15" s="7" t="s">
        <v>227</v>
      </c>
    </row>
    <row r="16" customFormat="false" ht="15" hidden="false" customHeight="true" outlineLevel="0" collapsed="false">
      <c r="A16" s="3" t="s">
        <v>172</v>
      </c>
      <c r="B16" s="21" t="n">
        <f aca="false">B15*0.9</f>
        <v>2556347.85</v>
      </c>
      <c r="D16" s="22" t="n">
        <f aca="false">D15*0.9</f>
        <v>1046351.25</v>
      </c>
      <c r="E16" s="7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3" min="2" style="1" width="16"/>
    <col collapsed="false" customWidth="true" hidden="false" outlineLevel="0" max="4" min="4" style="1" width="80"/>
  </cols>
  <sheetData>
    <row r="1" customFormat="false" ht="15" hidden="false" customHeight="true" outlineLevel="0" collapsed="false">
      <c r="A1" s="2" t="s">
        <v>0</v>
      </c>
    </row>
    <row r="3" customFormat="false" ht="15.75" hidden="false" customHeight="true" outlineLevel="0" collapsed="false">
      <c r="A3" s="4" t="s">
        <v>229</v>
      </c>
    </row>
    <row r="5" customFormat="false" ht="15" hidden="false" customHeight="true" outlineLevel="0" collapsed="false">
      <c r="A5" s="5" t="s">
        <v>230</v>
      </c>
    </row>
    <row r="6" customFormat="false" ht="15" hidden="false" customHeight="true" outlineLevel="0" collapsed="false">
      <c r="A6" s="3" t="s">
        <v>231</v>
      </c>
      <c r="B6" s="14" t="n">
        <v>1498480</v>
      </c>
      <c r="D6" s="7" t="s">
        <v>232</v>
      </c>
    </row>
    <row r="7" customFormat="false" ht="15" hidden="false" customHeight="true" outlineLevel="0" collapsed="false">
      <c r="A7" s="3" t="s">
        <v>233</v>
      </c>
      <c r="B7" s="14" t="n">
        <v>119281</v>
      </c>
      <c r="D7" s="7" t="s">
        <v>234</v>
      </c>
    </row>
    <row r="8" customFormat="false" ht="15" hidden="false" customHeight="true" outlineLevel="0" collapsed="false">
      <c r="A8" s="13" t="s">
        <v>235</v>
      </c>
      <c r="B8" s="23" t="n">
        <f aca="false">B6+B7</f>
        <v>1617761</v>
      </c>
    </row>
    <row r="9" customFormat="false" ht="15" hidden="false" customHeight="true" outlineLevel="0" collapsed="false">
      <c r="A9" s="3" t="s">
        <v>236</v>
      </c>
      <c r="B9" s="14" t="n">
        <v>1617761</v>
      </c>
    </row>
    <row r="10" customFormat="false" ht="15" hidden="false" customHeight="true" outlineLevel="0" collapsed="false">
      <c r="A10" s="3" t="s">
        <v>237</v>
      </c>
      <c r="B10" s="15" t="n">
        <f aca="false">B8-B9</f>
        <v>0</v>
      </c>
      <c r="D10" s="7" t="s">
        <v>238</v>
      </c>
    </row>
    <row r="11" customFormat="false" ht="15" hidden="false" customHeight="true" outlineLevel="0" collapsed="false">
      <c r="A11" s="3" t="s">
        <v>239</v>
      </c>
      <c r="B11" s="15" t="n">
        <f aca="false">B6-850894.54</f>
        <v>647585.46</v>
      </c>
      <c r="D11" s="7" t="s">
        <v>240</v>
      </c>
    </row>
    <row r="13" customFormat="false" ht="15" hidden="false" customHeight="true" outlineLevel="0" collapsed="false">
      <c r="A13" s="5" t="s">
        <v>241</v>
      </c>
    </row>
    <row r="14" customFormat="false" ht="15" hidden="false" customHeight="true" outlineLevel="0" collapsed="false">
      <c r="A14" s="3" t="s">
        <v>242</v>
      </c>
      <c r="B14" s="9" t="n">
        <v>850894.54</v>
      </c>
      <c r="D14" s="7" t="s">
        <v>243</v>
      </c>
    </row>
    <row r="16" customFormat="false" ht="15" hidden="false" customHeight="true" outlineLevel="0" collapsed="false">
      <c r="A16" s="5" t="s">
        <v>244</v>
      </c>
    </row>
    <row r="17" customFormat="false" ht="15" hidden="false" customHeight="true" outlineLevel="0" collapsed="false">
      <c r="A17" s="3" t="s">
        <v>245</v>
      </c>
      <c r="B17" s="14" t="n">
        <v>-591965</v>
      </c>
      <c r="D17" s="7" t="s">
        <v>246</v>
      </c>
    </row>
    <row r="18" customFormat="false" ht="15" hidden="false" customHeight="true" outlineLevel="0" collapsed="false">
      <c r="A18" s="3" t="s">
        <v>247</v>
      </c>
      <c r="B18" s="14" t="n">
        <v>329373</v>
      </c>
      <c r="D18" s="7" t="s">
        <v>248</v>
      </c>
    </row>
    <row r="19" customFormat="false" ht="15" hidden="false" customHeight="true" outlineLevel="0" collapsed="false">
      <c r="A19" s="3" t="s">
        <v>249</v>
      </c>
      <c r="B19" s="24" t="n">
        <f aca="false">B17+B18</f>
        <v>-262592</v>
      </c>
      <c r="D19" s="7" t="s">
        <v>250</v>
      </c>
    </row>
    <row r="20" customFormat="false" ht="15" hidden="false" customHeight="true" outlineLevel="0" collapsed="false">
      <c r="A20" s="3" t="s">
        <v>251</v>
      </c>
      <c r="B20" s="14" t="n">
        <v>-194353</v>
      </c>
      <c r="D20" s="7" t="s">
        <v>252</v>
      </c>
    </row>
    <row r="21" customFormat="false" ht="15" hidden="false" customHeight="true" outlineLevel="0" collapsed="false">
      <c r="A21" s="3" t="s">
        <v>253</v>
      </c>
      <c r="B21" s="9" t="n">
        <v>327427.02</v>
      </c>
    </row>
    <row r="22" customFormat="false" ht="15" hidden="false" customHeight="true" outlineLevel="0" collapsed="false">
      <c r="A22" s="3" t="s">
        <v>254</v>
      </c>
      <c r="B22" s="15" t="n">
        <f aca="false">329373-B21</f>
        <v>1945.97999999998</v>
      </c>
      <c r="D22" s="7" t="s">
        <v>255</v>
      </c>
    </row>
    <row r="24" customFormat="false" ht="15" hidden="false" customHeight="true" outlineLevel="0" collapsed="false">
      <c r="A24" s="5" t="s">
        <v>256</v>
      </c>
    </row>
    <row r="25" customFormat="false" ht="15" hidden="false" customHeight="true" outlineLevel="0" collapsed="false">
      <c r="A25" s="3" t="s">
        <v>257</v>
      </c>
      <c r="B25" s="14" t="n">
        <v>0</v>
      </c>
    </row>
    <row r="26" customFormat="false" ht="15" hidden="false" customHeight="true" outlineLevel="0" collapsed="false">
      <c r="A26" s="3" t="s">
        <v>258</v>
      </c>
      <c r="B26" s="14" t="n">
        <v>-333228</v>
      </c>
    </row>
    <row r="27" customFormat="false" ht="15" hidden="false" customHeight="true" outlineLevel="0" collapsed="false">
      <c r="A27" s="3" t="s">
        <v>259</v>
      </c>
      <c r="B27" s="14" t="n">
        <v>759997</v>
      </c>
    </row>
    <row r="28" customFormat="false" ht="15" hidden="false" customHeight="true" outlineLevel="0" collapsed="false">
      <c r="A28" s="3" t="s">
        <v>260</v>
      </c>
      <c r="B28" s="14" t="n">
        <v>0</v>
      </c>
    </row>
    <row r="29" customFormat="false" ht="15" hidden="false" customHeight="true" outlineLevel="0" collapsed="false">
      <c r="A29" s="13" t="s">
        <v>261</v>
      </c>
      <c r="B29" s="23" t="n">
        <f aca="false">SUM(B25:B28)</f>
        <v>426769</v>
      </c>
      <c r="D29" s="7" t="s">
        <v>262</v>
      </c>
    </row>
    <row r="31" customFormat="false" ht="15" hidden="false" customHeight="true" outlineLevel="0" collapsed="false">
      <c r="A31" s="5" t="s">
        <v>263</v>
      </c>
    </row>
    <row r="32" customFormat="false" ht="15" hidden="false" customHeight="true" outlineLevel="0" collapsed="false">
      <c r="A32" s="3" t="s">
        <v>264</v>
      </c>
      <c r="B32" s="6" t="n">
        <v>677830.41</v>
      </c>
    </row>
    <row r="33" customFormat="false" ht="15" hidden="false" customHeight="true" outlineLevel="0" collapsed="false">
      <c r="A33" s="3" t="s">
        <v>265</v>
      </c>
      <c r="B33" s="6" t="n">
        <v>4700000</v>
      </c>
    </row>
    <row r="34" customFormat="false" ht="15" hidden="false" customHeight="true" outlineLevel="0" collapsed="false">
      <c r="A34" s="3" t="s">
        <v>266</v>
      </c>
      <c r="B34" s="8" t="n">
        <v>0.04</v>
      </c>
    </row>
    <row r="35" customFormat="false" ht="15" hidden="false" customHeight="true" outlineLevel="0" collapsed="false">
      <c r="A35" s="3" t="s">
        <v>267</v>
      </c>
      <c r="B35" s="25" t="n">
        <f aca="false">B32/(B33*B34)</f>
        <v>3.60548090425532</v>
      </c>
      <c r="D35" s="7" t="s">
        <v>268</v>
      </c>
    </row>
    <row r="36" customFormat="false" ht="15" hidden="false" customHeight="true" outlineLevel="0" collapsed="false">
      <c r="A36" s="3" t="s">
        <v>269</v>
      </c>
      <c r="B36" s="26" t="n">
        <f aca="false">B33*B34*(DATE(2026,5,1)-DATE(2022,9,23))/365</f>
        <v>677830.136986301</v>
      </c>
      <c r="D36" s="7" t="s">
        <v>270</v>
      </c>
    </row>
    <row r="37" customFormat="false" ht="15" hidden="false" customHeight="true" outlineLevel="0" collapsed="false">
      <c r="A37" s="3" t="s">
        <v>271</v>
      </c>
      <c r="B37" s="15" t="n">
        <f aca="false">B33*B34*YEARFRAC(DATE(2022,9,23),DATE(2026,7,2),1)</f>
        <v>709375.684556408</v>
      </c>
      <c r="D37" s="7" t="s">
        <v>272</v>
      </c>
    </row>
    <row r="38" customFormat="false" ht="15" hidden="false" customHeight="true" outlineLevel="0" collapsed="false">
      <c r="A38" s="3" t="s">
        <v>273</v>
      </c>
      <c r="B38" s="15" t="n">
        <f aca="false">B37-B32</f>
        <v>31545.2745564075</v>
      </c>
    </row>
    <row r="39" customFormat="false" ht="15" hidden="false" customHeight="true" outlineLevel="0" collapsed="false">
      <c r="A39" s="3" t="s">
        <v>274</v>
      </c>
      <c r="D39" s="7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4"/>
    <col collapsed="false" customWidth="true" hidden="false" outlineLevel="0" max="6" min="6" style="1" width="66"/>
  </cols>
  <sheetData>
    <row r="1" customFormat="false" ht="15" hidden="false" customHeight="true" outlineLevel="0" collapsed="false">
      <c r="A1" s="2" t="s">
        <v>0</v>
      </c>
    </row>
    <row r="3" customFormat="false" ht="15.75" hidden="false" customHeight="true" outlineLevel="0" collapsed="false">
      <c r="A3" s="4" t="s">
        <v>276</v>
      </c>
    </row>
    <row r="4" customFormat="false" ht="15" hidden="false" customHeight="true" outlineLevel="0" collapsed="false">
      <c r="A4" s="7" t="s">
        <v>277</v>
      </c>
    </row>
    <row r="6" customFormat="false" ht="15" hidden="false" customHeight="true" outlineLevel="0" collapsed="false">
      <c r="A6" s="13"/>
      <c r="B6" s="13" t="s">
        <v>278</v>
      </c>
      <c r="C6" s="13" t="s">
        <v>279</v>
      </c>
      <c r="D6" s="13" t="s">
        <v>280</v>
      </c>
      <c r="E6" s="13" t="s">
        <v>281</v>
      </c>
    </row>
    <row r="7" customFormat="false" ht="15" hidden="false" customHeight="true" outlineLevel="0" collapsed="false">
      <c r="A7" s="13" t="s">
        <v>282</v>
      </c>
      <c r="B7" s="27" t="n">
        <v>5041721</v>
      </c>
      <c r="C7" s="27" t="n">
        <v>1925995</v>
      </c>
      <c r="D7" s="27" t="n">
        <v>2730527</v>
      </c>
      <c r="E7" s="27" t="n">
        <v>385199</v>
      </c>
      <c r="F7" s="7" t="s">
        <v>283</v>
      </c>
    </row>
    <row r="8" customFormat="false" ht="15" hidden="false" customHeight="true" outlineLevel="0" collapsed="false">
      <c r="A8" s="3" t="s">
        <v>284</v>
      </c>
      <c r="B8" s="14" t="n">
        <v>346052</v>
      </c>
      <c r="C8" s="14" t="n">
        <v>88026</v>
      </c>
      <c r="D8" s="14" t="n">
        <v>258026</v>
      </c>
      <c r="E8" s="14" t="n">
        <v>0</v>
      </c>
      <c r="F8" s="7"/>
    </row>
    <row r="9" customFormat="false" ht="15" hidden="false" customHeight="true" outlineLevel="0" collapsed="false">
      <c r="A9" s="3" t="s">
        <v>285</v>
      </c>
      <c r="B9" s="14" t="n">
        <v>283908</v>
      </c>
      <c r="C9" s="14" t="n">
        <v>106465</v>
      </c>
      <c r="D9" s="14" t="n">
        <v>156149</v>
      </c>
      <c r="E9" s="14" t="n">
        <v>21293</v>
      </c>
      <c r="F9" s="7"/>
    </row>
    <row r="10" customFormat="false" ht="15" hidden="false" customHeight="true" outlineLevel="0" collapsed="false">
      <c r="A10" s="3" t="s">
        <v>286</v>
      </c>
      <c r="B10" s="14" t="n">
        <v>-190800</v>
      </c>
      <c r="C10" s="14" t="n">
        <v>-111773</v>
      </c>
      <c r="D10" s="14" t="n">
        <v>-79027</v>
      </c>
      <c r="E10" s="14" t="n">
        <v>0</v>
      </c>
      <c r="F10" s="7"/>
    </row>
    <row r="11" customFormat="false" ht="15" hidden="false" customHeight="true" outlineLevel="0" collapsed="false">
      <c r="A11" s="13" t="s">
        <v>287</v>
      </c>
      <c r="B11" s="27" t="n">
        <v>5480881</v>
      </c>
      <c r="C11" s="27" t="n">
        <v>2008714</v>
      </c>
      <c r="D11" s="27" t="n">
        <v>3065675</v>
      </c>
      <c r="E11" s="27" t="n">
        <v>406492</v>
      </c>
      <c r="F11" s="7" t="s">
        <v>288</v>
      </c>
    </row>
    <row r="12" customFormat="false" ht="15" hidden="false" customHeight="true" outlineLevel="0" collapsed="false">
      <c r="A12" s="3" t="s">
        <v>289</v>
      </c>
      <c r="B12" s="14" t="n">
        <v>-214285</v>
      </c>
      <c r="C12" s="14" t="n">
        <v>-80357</v>
      </c>
      <c r="D12" s="14" t="n">
        <v>-117857</v>
      </c>
      <c r="E12" s="14" t="n">
        <v>-16071</v>
      </c>
      <c r="F12" s="7"/>
    </row>
    <row r="13" customFormat="false" ht="15" hidden="false" customHeight="true" outlineLevel="0" collapsed="false">
      <c r="A13" s="3" t="s">
        <v>290</v>
      </c>
      <c r="B13" s="14" t="n">
        <v>-297218</v>
      </c>
      <c r="C13" s="14" t="n">
        <v>-161211</v>
      </c>
      <c r="D13" s="14" t="n">
        <v>-83626</v>
      </c>
      <c r="E13" s="14" t="n">
        <v>-52381</v>
      </c>
      <c r="F13" s="7"/>
    </row>
    <row r="14" customFormat="false" ht="15" hidden="false" customHeight="true" outlineLevel="0" collapsed="false">
      <c r="A14" s="13" t="s">
        <v>291</v>
      </c>
      <c r="B14" s="27" t="n">
        <v>4969378</v>
      </c>
      <c r="C14" s="27" t="n">
        <v>1767146</v>
      </c>
      <c r="D14" s="27" t="n">
        <v>2864192</v>
      </c>
      <c r="E14" s="27" t="n">
        <v>338040</v>
      </c>
      <c r="F14" s="7"/>
    </row>
    <row r="15" customFormat="false" ht="15" hidden="false" customHeight="true" outlineLevel="0" collapsed="false">
      <c r="A15" s="3" t="s">
        <v>292</v>
      </c>
      <c r="B15" s="14" t="n">
        <v>60000</v>
      </c>
      <c r="C15" s="14" t="n">
        <v>0</v>
      </c>
      <c r="D15" s="14" t="n">
        <v>60000</v>
      </c>
      <c r="E15" s="14" t="n">
        <v>0</v>
      </c>
      <c r="F15" s="7"/>
    </row>
    <row r="16" customFormat="false" ht="15" hidden="false" customHeight="true" outlineLevel="0" collapsed="false">
      <c r="A16" s="3" t="s">
        <v>293</v>
      </c>
      <c r="B16" s="14" t="n">
        <v>1020069</v>
      </c>
      <c r="C16" s="14" t="n">
        <v>382526</v>
      </c>
      <c r="D16" s="14" t="n">
        <v>561038</v>
      </c>
      <c r="E16" s="14" t="n">
        <v>76505</v>
      </c>
      <c r="F16" s="7"/>
    </row>
    <row r="17" customFormat="false" ht="15" hidden="false" customHeight="true" outlineLevel="0" collapsed="false">
      <c r="A17" s="3" t="s">
        <v>294</v>
      </c>
      <c r="B17" s="14" t="n">
        <v>-276229</v>
      </c>
      <c r="C17" s="14" t="n">
        <v>-180065</v>
      </c>
      <c r="D17" s="14" t="n">
        <v>-64201</v>
      </c>
      <c r="E17" s="14" t="n">
        <v>-31963</v>
      </c>
      <c r="F17" s="7"/>
    </row>
    <row r="18" customFormat="false" ht="15" hidden="false" customHeight="true" outlineLevel="0" collapsed="false">
      <c r="A18" s="13" t="s">
        <v>295</v>
      </c>
      <c r="B18" s="27" t="n">
        <v>5773218</v>
      </c>
      <c r="C18" s="27" t="n">
        <v>1969607</v>
      </c>
      <c r="D18" s="27" t="n">
        <v>3421029</v>
      </c>
      <c r="E18" s="27" t="n">
        <v>382582</v>
      </c>
      <c r="F18" s="7"/>
    </row>
    <row r="19" customFormat="false" ht="15" hidden="false" customHeight="true" outlineLevel="0" collapsed="false">
      <c r="A19" s="3" t="s">
        <v>296</v>
      </c>
      <c r="B19" s="14" t="n">
        <v>93630</v>
      </c>
      <c r="C19" s="14" t="n">
        <v>0</v>
      </c>
      <c r="D19" s="14" t="n">
        <v>93630</v>
      </c>
      <c r="E19" s="14" t="n">
        <v>0</v>
      </c>
      <c r="F19" s="7"/>
    </row>
    <row r="20" customFormat="false" ht="15" hidden="false" customHeight="true" outlineLevel="0" collapsed="false">
      <c r="A20" s="3" t="s">
        <v>297</v>
      </c>
      <c r="B20" s="14" t="n">
        <v>576611</v>
      </c>
      <c r="C20" s="14" t="n">
        <v>216229</v>
      </c>
      <c r="D20" s="14" t="n">
        <v>317136</v>
      </c>
      <c r="E20" s="14" t="n">
        <v>43246</v>
      </c>
      <c r="F20" s="7"/>
    </row>
    <row r="21" customFormat="false" ht="15" hidden="false" customHeight="true" outlineLevel="0" collapsed="false">
      <c r="A21" s="3" t="s">
        <v>298</v>
      </c>
      <c r="B21" s="14" t="n">
        <v>-434875</v>
      </c>
      <c r="C21" s="14" t="n">
        <v>-200566</v>
      </c>
      <c r="D21" s="14" t="n">
        <v>-230109</v>
      </c>
      <c r="E21" s="14" t="n">
        <v>-4200</v>
      </c>
      <c r="F21" s="7"/>
    </row>
    <row r="22" customFormat="false" ht="15" hidden="false" customHeight="true" outlineLevel="0" collapsed="false">
      <c r="A22" s="13" t="s">
        <v>299</v>
      </c>
      <c r="B22" s="27" t="n">
        <v>6008584</v>
      </c>
      <c r="C22" s="27" t="n">
        <v>1985270</v>
      </c>
      <c r="D22" s="27" t="n">
        <v>3601686</v>
      </c>
      <c r="E22" s="27" t="n">
        <v>421628</v>
      </c>
      <c r="F22" s="7"/>
    </row>
    <row r="23" customFormat="false" ht="15" hidden="false" customHeight="true" outlineLevel="0" collapsed="false">
      <c r="A23" s="3" t="s">
        <v>300</v>
      </c>
      <c r="B23" s="14" t="n">
        <v>1321713</v>
      </c>
      <c r="C23" s="14" t="n">
        <v>495642</v>
      </c>
      <c r="D23" s="14" t="n">
        <v>726942</v>
      </c>
      <c r="E23" s="14" t="n">
        <v>99128</v>
      </c>
      <c r="F23" s="7"/>
    </row>
    <row r="24" customFormat="false" ht="15" hidden="false" customHeight="true" outlineLevel="0" collapsed="false">
      <c r="A24" s="3" t="s">
        <v>301</v>
      </c>
      <c r="B24" s="14" t="n">
        <v>-319211</v>
      </c>
      <c r="C24" s="14" t="n">
        <v>-211643</v>
      </c>
      <c r="D24" s="14" t="n">
        <v>-106184</v>
      </c>
      <c r="E24" s="14" t="n">
        <v>-1384</v>
      </c>
      <c r="F24" s="7"/>
    </row>
    <row r="25" customFormat="false" ht="15" hidden="false" customHeight="true" outlineLevel="0" collapsed="false">
      <c r="A25" s="13" t="s">
        <v>302</v>
      </c>
      <c r="B25" s="27" t="n">
        <v>7011086</v>
      </c>
      <c r="C25" s="27" t="n">
        <v>2269270</v>
      </c>
      <c r="D25" s="27" t="n">
        <v>4222444</v>
      </c>
      <c r="E25" s="27" t="n">
        <v>519372</v>
      </c>
      <c r="F25" s="7"/>
    </row>
    <row r="26" customFormat="false" ht="15" hidden="false" customHeight="true" outlineLevel="0" collapsed="false">
      <c r="A26" s="3" t="s">
        <v>303</v>
      </c>
      <c r="B26" s="14" t="n">
        <v>0</v>
      </c>
      <c r="C26" s="14" t="n">
        <v>10393</v>
      </c>
      <c r="D26" s="14" t="n">
        <v>-12472</v>
      </c>
      <c r="E26" s="14" t="n">
        <v>2079</v>
      </c>
      <c r="F26" s="7"/>
    </row>
    <row r="27" customFormat="false" ht="15" hidden="false" customHeight="true" outlineLevel="0" collapsed="false">
      <c r="A27" s="3" t="s">
        <v>304</v>
      </c>
      <c r="B27" s="14" t="n">
        <v>80000</v>
      </c>
      <c r="C27" s="14" t="n">
        <v>0</v>
      </c>
      <c r="D27" s="14" t="n">
        <v>0</v>
      </c>
      <c r="E27" s="14" t="n">
        <v>80000</v>
      </c>
      <c r="F27" s="7"/>
    </row>
    <row r="28" customFormat="false" ht="15" hidden="false" customHeight="true" outlineLevel="0" collapsed="false">
      <c r="A28" s="3" t="s">
        <v>305</v>
      </c>
      <c r="B28" s="14" t="n">
        <v>560854</v>
      </c>
      <c r="C28" s="14" t="n">
        <v>210320</v>
      </c>
      <c r="D28" s="14" t="n">
        <v>308470</v>
      </c>
      <c r="E28" s="14" t="n">
        <v>42064</v>
      </c>
      <c r="F28" s="7"/>
    </row>
    <row r="29" customFormat="false" ht="15" hidden="false" customHeight="true" outlineLevel="0" collapsed="false">
      <c r="A29" s="3" t="s">
        <v>306</v>
      </c>
      <c r="B29" s="14" t="n">
        <v>-262516</v>
      </c>
      <c r="C29" s="14" t="n">
        <v>-194973</v>
      </c>
      <c r="D29" s="14" t="n">
        <v>-67543</v>
      </c>
      <c r="E29" s="14" t="n">
        <v>0</v>
      </c>
      <c r="F29" s="7"/>
    </row>
    <row r="30" customFormat="false" ht="15" hidden="false" customHeight="true" outlineLevel="0" collapsed="false">
      <c r="A30" s="13" t="s">
        <v>307</v>
      </c>
      <c r="B30" s="27" t="n">
        <v>7389424</v>
      </c>
      <c r="C30" s="27" t="n">
        <v>2295010</v>
      </c>
      <c r="D30" s="27" t="n">
        <v>4450899</v>
      </c>
      <c r="E30" s="27" t="n">
        <v>643515</v>
      </c>
      <c r="F30" s="7"/>
    </row>
    <row r="31" customFormat="false" ht="15" hidden="false" customHeight="true" outlineLevel="0" collapsed="false">
      <c r="A31" s="3" t="s">
        <v>308</v>
      </c>
      <c r="B31" s="14" t="n">
        <v>1013445</v>
      </c>
      <c r="C31" s="14" t="n">
        <v>380042</v>
      </c>
      <c r="D31" s="14" t="n">
        <v>557395</v>
      </c>
      <c r="E31" s="14" t="n">
        <v>76008</v>
      </c>
      <c r="F31" s="7"/>
    </row>
    <row r="32" customFormat="false" ht="15" hidden="false" customHeight="true" outlineLevel="0" collapsed="false">
      <c r="A32" s="3" t="s">
        <v>309</v>
      </c>
      <c r="B32" s="14" t="n">
        <v>-235124</v>
      </c>
      <c r="C32" s="14" t="n">
        <v>-152309</v>
      </c>
      <c r="D32" s="14" t="n">
        <v>-82014</v>
      </c>
      <c r="E32" s="14" t="n">
        <v>-801</v>
      </c>
      <c r="F32" s="7"/>
    </row>
    <row r="33" customFormat="false" ht="15" hidden="false" customHeight="true" outlineLevel="0" collapsed="false">
      <c r="A33" s="13" t="s">
        <v>310</v>
      </c>
      <c r="B33" s="27" t="n">
        <v>8167745</v>
      </c>
      <c r="C33" s="27" t="n">
        <v>2522743</v>
      </c>
      <c r="D33" s="27" t="n">
        <v>4926280</v>
      </c>
      <c r="E33" s="27" t="n">
        <v>718723</v>
      </c>
      <c r="F33" s="7"/>
    </row>
    <row r="34" customFormat="false" ht="15" hidden="false" customHeight="true" outlineLevel="0" collapsed="false">
      <c r="A34" s="3" t="s">
        <v>311</v>
      </c>
      <c r="B34" s="14" t="n">
        <v>1011324</v>
      </c>
      <c r="C34" s="14" t="n">
        <v>379247</v>
      </c>
      <c r="D34" s="14" t="n">
        <v>556228</v>
      </c>
      <c r="E34" s="14" t="n">
        <v>75849</v>
      </c>
      <c r="F34" s="7"/>
    </row>
    <row r="35" customFormat="false" ht="15" hidden="false" customHeight="true" outlineLevel="0" collapsed="false">
      <c r="A35" s="3" t="s">
        <v>312</v>
      </c>
      <c r="B35" s="14" t="n">
        <v>-284904</v>
      </c>
      <c r="C35" s="14" t="n">
        <v>-158642</v>
      </c>
      <c r="D35" s="14" t="n">
        <v>-126262</v>
      </c>
      <c r="E35" s="14" t="n">
        <v>0</v>
      </c>
      <c r="F35" s="7"/>
    </row>
    <row r="36" customFormat="false" ht="15" hidden="false" customHeight="true" outlineLevel="0" collapsed="false">
      <c r="A36" s="13" t="s">
        <v>313</v>
      </c>
      <c r="B36" s="27" t="n">
        <v>8894165</v>
      </c>
      <c r="C36" s="27" t="n">
        <v>2743347</v>
      </c>
      <c r="D36" s="27" t="n">
        <v>5356246</v>
      </c>
      <c r="E36" s="27" t="n">
        <v>794572</v>
      </c>
      <c r="F36" s="7" t="s">
        <v>314</v>
      </c>
    </row>
    <row r="38" customFormat="false" ht="15" hidden="false" customHeight="true" outlineLevel="0" collapsed="false">
      <c r="A38" s="13" t="s">
        <v>315</v>
      </c>
      <c r="B38" s="21" t="n">
        <f aca="false">B36</f>
        <v>8894165</v>
      </c>
      <c r="C38" s="21" t="n">
        <f aca="false">$B36*0.375</f>
        <v>3335311.875</v>
      </c>
      <c r="D38" s="21" t="n">
        <f aca="false">$B36*0.55</f>
        <v>4891790.75</v>
      </c>
      <c r="E38" s="21" t="n">
        <f aca="false">$B36*0.075</f>
        <v>667062.375</v>
      </c>
    </row>
    <row r="39" customFormat="false" ht="15" hidden="false" customHeight="true" outlineLevel="0" collapsed="false">
      <c r="A39" s="13" t="s">
        <v>316</v>
      </c>
      <c r="B39" s="21" t="n">
        <f aca="false">B36-B38</f>
        <v>0</v>
      </c>
      <c r="C39" s="21" t="n">
        <f aca="false">C36-C38</f>
        <v>-591964.875</v>
      </c>
      <c r="D39" s="21" t="n">
        <f aca="false">D36-D38</f>
        <v>464455.25</v>
      </c>
      <c r="E39" s="21" t="n">
        <f aca="false">E36-E38</f>
        <v>127509.625</v>
      </c>
      <c r="F39" s="7" t="s">
        <v>317</v>
      </c>
    </row>
    <row r="41" customFormat="false" ht="15" hidden="false" customHeight="true" outlineLevel="0" collapsed="false">
      <c r="A41" s="3" t="s">
        <v>318</v>
      </c>
      <c r="B41" s="21" t="n">
        <f aca="false">2079+418023-90729</f>
        <v>329373</v>
      </c>
      <c r="F41" s="7" t="s">
        <v>319</v>
      </c>
    </row>
    <row r="42" customFormat="false" ht="15" hidden="false" customHeight="true" outlineLevel="0" collapsed="false">
      <c r="A42" s="13" t="s">
        <v>320</v>
      </c>
      <c r="B42" s="28" t="n">
        <f aca="false">C39+B41</f>
        <v>-262591.875</v>
      </c>
      <c r="F42" s="7" t="s">
        <v>321</v>
      </c>
    </row>
    <row r="44" customFormat="false" ht="15" hidden="false" customHeight="true" outlineLevel="0" collapsed="false">
      <c r="A44" s="3" t="s">
        <v>322</v>
      </c>
      <c r="B44" s="21" t="n">
        <f aca="false">-(C10+C13+C17+C21+C24+C29+C32+C35)</f>
        <v>1371182</v>
      </c>
      <c r="F44" s="7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" t="s">
        <v>0</v>
      </c>
    </row>
    <row r="3" customFormat="false" ht="15.75" hidden="false" customHeight="true" outlineLevel="0" collapsed="false">
      <c r="A3" s="4" t="s">
        <v>324</v>
      </c>
    </row>
    <row r="5" customFormat="false" ht="15" hidden="false" customHeight="true" outlineLevel="0" collapsed="false">
      <c r="A5" s="3" t="s">
        <v>325</v>
      </c>
      <c r="B5" s="7" t="s">
        <v>326</v>
      </c>
    </row>
    <row r="6" customFormat="false" ht="15" hidden="false" customHeight="true" outlineLevel="0" collapsed="false">
      <c r="A6" s="3" t="s">
        <v>327</v>
      </c>
      <c r="B6" s="7" t="s">
        <v>328</v>
      </c>
    </row>
    <row r="7" customFormat="false" ht="15" hidden="false" customHeight="true" outlineLevel="0" collapsed="false">
      <c r="A7" s="3" t="s">
        <v>329</v>
      </c>
      <c r="B7" s="7" t="s">
        <v>330</v>
      </c>
    </row>
    <row r="8" customFormat="false" ht="15" hidden="false" customHeight="true" outlineLevel="0" collapsed="false">
      <c r="A8" s="3" t="s">
        <v>331</v>
      </c>
      <c r="B8" s="7" t="s">
        <v>332</v>
      </c>
    </row>
    <row r="9" customFormat="false" ht="15" hidden="false" customHeight="true" outlineLevel="0" collapsed="false">
      <c r="A9" s="3" t="s">
        <v>333</v>
      </c>
      <c r="B9" s="7" t="s">
        <v>334</v>
      </c>
    </row>
    <row r="10" customFormat="false" ht="15" hidden="false" customHeight="true" outlineLevel="0" collapsed="false">
      <c r="A10" s="3" t="s">
        <v>335</v>
      </c>
      <c r="B10" s="7" t="s">
        <v>336</v>
      </c>
    </row>
    <row r="11" customFormat="false" ht="15" hidden="false" customHeight="true" outlineLevel="0" collapsed="false">
      <c r="A11" s="3" t="s">
        <v>337</v>
      </c>
      <c r="B11" s="7" t="s">
        <v>338</v>
      </c>
    </row>
    <row r="12" customFormat="false" ht="15" hidden="false" customHeight="true" outlineLevel="0" collapsed="false">
      <c r="A12" s="3" t="s">
        <v>339</v>
      </c>
      <c r="B12" s="7" t="s">
        <v>340</v>
      </c>
    </row>
    <row r="13" customFormat="false" ht="15" hidden="false" customHeight="true" outlineLevel="0" collapsed="false">
      <c r="A13" s="3" t="s">
        <v>341</v>
      </c>
      <c r="B13" s="7" t="s">
        <v>342</v>
      </c>
    </row>
    <row r="14" customFormat="false" ht="15" hidden="false" customHeight="true" outlineLevel="0" collapsed="false">
      <c r="A14" s="3" t="s">
        <v>343</v>
      </c>
      <c r="B14" s="7" t="s">
        <v>344</v>
      </c>
    </row>
    <row r="15" customFormat="false" ht="15" hidden="false" customHeight="true" outlineLevel="0" collapsed="false">
      <c r="A15" s="3" t="s">
        <v>345</v>
      </c>
      <c r="B15" s="7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2026-08-18T16:15:25Z</dcterms:created>
  <dc:creator>openpyxl</dc:creator>
  <dc:description/>
  <dc:language>en-US</dc:language>
  <cp:lastModifiedBy/>
  <dcterms:modified xsi:type="dcterms:W3CDTF">2026-08-18T20:09:08Z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